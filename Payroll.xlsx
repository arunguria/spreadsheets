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74BF766-D3EF-493A-AC3A-8EA00C391BDF}" xr6:coauthVersionLast="47" xr6:coauthVersionMax="47" xr10:uidLastSave="{00000000-0000-0000-0000-000000000000}"/>
  <bookViews>
    <workbookView xWindow="-120" yWindow="-120" windowWidth="20730" windowHeight="11040" activeTab="1" xr2:uid="{366F9AC5-26BD-4888-B8A5-61189D0E4AC6}"/>
  </bookViews>
  <sheets>
    <sheet name="Attendance Sheet" sheetId="1" r:id="rId1"/>
    <sheet name="Salary Sheet" sheetId="2" r:id="rId2"/>
    <sheet name="Sheet3" sheetId="3" r:id="rId3"/>
  </sheets>
  <definedNames>
    <definedName name="Month">Sheet3!$A$1:$A$12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2" l="1"/>
  <c r="W5" i="2"/>
  <c r="W6" i="2"/>
  <c r="W7" i="2"/>
  <c r="W8" i="2"/>
  <c r="W9" i="2"/>
  <c r="W10" i="2"/>
  <c r="W11" i="2"/>
  <c r="W12" i="2"/>
  <c r="W3" i="2"/>
  <c r="V4" i="2"/>
  <c r="V5" i="2"/>
  <c r="V6" i="2"/>
  <c r="V7" i="2"/>
  <c r="V8" i="2"/>
  <c r="V9" i="2"/>
  <c r="V10" i="2"/>
  <c r="V11" i="2"/>
  <c r="V12" i="2"/>
  <c r="V3" i="2"/>
  <c r="U4" i="2"/>
  <c r="U5" i="2"/>
  <c r="U6" i="2"/>
  <c r="U7" i="2"/>
  <c r="U8" i="2"/>
  <c r="U9" i="2"/>
  <c r="U10" i="2"/>
  <c r="U11" i="2"/>
  <c r="U12" i="2"/>
  <c r="U3" i="2"/>
  <c r="S4" i="2"/>
  <c r="S5" i="2"/>
  <c r="S6" i="2"/>
  <c r="S7" i="2"/>
  <c r="S8" i="2"/>
  <c r="S9" i="2"/>
  <c r="S10" i="2"/>
  <c r="S11" i="2"/>
  <c r="S12" i="2"/>
  <c r="T4" i="2"/>
  <c r="T5" i="2"/>
  <c r="T6" i="2"/>
  <c r="T7" i="2"/>
  <c r="T8" i="2"/>
  <c r="T9" i="2"/>
  <c r="T10" i="2"/>
  <c r="T11" i="2"/>
  <c r="T12" i="2"/>
  <c r="T3" i="2"/>
  <c r="S3" i="2"/>
  <c r="R4" i="2"/>
  <c r="R5" i="2"/>
  <c r="R6" i="2"/>
  <c r="R7" i="2"/>
  <c r="R8" i="2"/>
  <c r="R9" i="2"/>
  <c r="R10" i="2"/>
  <c r="R11" i="2"/>
  <c r="R12" i="2"/>
  <c r="R3" i="2"/>
  <c r="Q3" i="2"/>
  <c r="Q4" i="2"/>
  <c r="Q5" i="2"/>
  <c r="Q6" i="2"/>
  <c r="Q7" i="2"/>
  <c r="Q8" i="2"/>
  <c r="Q9" i="2"/>
  <c r="Q10" i="2"/>
  <c r="Q11" i="2"/>
  <c r="Q12" i="2"/>
  <c r="O4" i="2"/>
  <c r="O5" i="2"/>
  <c r="O6" i="2"/>
  <c r="O7" i="2"/>
  <c r="O8" i="2"/>
  <c r="O9" i="2"/>
  <c r="O10" i="2"/>
  <c r="O11" i="2"/>
  <c r="O12" i="2"/>
  <c r="O3" i="2"/>
  <c r="N4" i="2"/>
  <c r="N5" i="2"/>
  <c r="N6" i="2"/>
  <c r="N7" i="2"/>
  <c r="N8" i="2"/>
  <c r="N9" i="2"/>
  <c r="N10" i="2"/>
  <c r="N11" i="2"/>
  <c r="N12" i="2"/>
  <c r="N3" i="2"/>
  <c r="M4" i="2"/>
  <c r="M5" i="2"/>
  <c r="M6" i="2"/>
  <c r="M7" i="2"/>
  <c r="M8" i="2"/>
  <c r="M9" i="2"/>
  <c r="M10" i="2"/>
  <c r="M11" i="2"/>
  <c r="M12" i="2"/>
  <c r="M3" i="2"/>
  <c r="X1" i="2"/>
  <c r="S1" i="1"/>
  <c r="L3" i="2"/>
  <c r="L4" i="2"/>
  <c r="L5" i="2"/>
  <c r="L6" i="2"/>
  <c r="L7" i="2"/>
  <c r="L8" i="2"/>
  <c r="L9" i="2"/>
  <c r="L10" i="2"/>
  <c r="L11" i="2"/>
  <c r="L12" i="2"/>
  <c r="AK8" i="1"/>
  <c r="AK12" i="1"/>
  <c r="AK14" i="1"/>
  <c r="AJ6" i="1"/>
  <c r="AJ7" i="1"/>
  <c r="AJ8" i="1"/>
  <c r="AL8" i="1" s="1"/>
  <c r="AJ9" i="1"/>
  <c r="AK9" i="1" s="1"/>
  <c r="AJ10" i="1"/>
  <c r="AJ11" i="1"/>
  <c r="AJ12" i="1"/>
  <c r="AL12" i="1" s="1"/>
  <c r="AJ13" i="1"/>
  <c r="AK13" i="1" s="1"/>
  <c r="AJ14" i="1"/>
  <c r="AL14" i="1" s="1"/>
  <c r="AK5" i="1"/>
  <c r="AJ5" i="1"/>
  <c r="E1" i="1"/>
  <c r="E3" i="1" s="1"/>
  <c r="AL13" i="1" l="1"/>
  <c r="AL9" i="1"/>
  <c r="AK11" i="1"/>
  <c r="AL11" i="1" s="1"/>
  <c r="AK7" i="1"/>
  <c r="AL7" i="1" s="1"/>
  <c r="AK10" i="1"/>
  <c r="AL10" i="1" s="1"/>
  <c r="AK6" i="1"/>
  <c r="AL6" i="1" s="1"/>
  <c r="F3" i="1"/>
  <c r="F4" i="1" s="1"/>
  <c r="E4" i="1"/>
  <c r="J1" i="1"/>
  <c r="O1" i="1" s="1"/>
  <c r="Q1" i="1" s="1"/>
  <c r="AL5" i="1" s="1"/>
  <c r="G3" i="1" l="1"/>
  <c r="G4" i="1" s="1"/>
  <c r="H3" i="1"/>
  <c r="I3" i="1" l="1"/>
  <c r="H4" i="1"/>
  <c r="J3" i="1" l="1"/>
  <c r="I4" i="1"/>
  <c r="K3" i="1" l="1"/>
  <c r="J4" i="1"/>
  <c r="L3" i="1" l="1"/>
  <c r="K4" i="1"/>
  <c r="M3" i="1" l="1"/>
  <c r="L4" i="1"/>
  <c r="N3" i="1" l="1"/>
  <c r="M4" i="1"/>
  <c r="O3" i="1" l="1"/>
  <c r="N4" i="1"/>
  <c r="P3" i="1" l="1"/>
  <c r="O4" i="1"/>
  <c r="Q3" i="1" l="1"/>
  <c r="P4" i="1"/>
  <c r="R3" i="1" l="1"/>
  <c r="Q4" i="1"/>
  <c r="S3" i="1" l="1"/>
  <c r="R4" i="1"/>
  <c r="T3" i="1" l="1"/>
  <c r="S4" i="1"/>
  <c r="U3" i="1" l="1"/>
  <c r="T4" i="1"/>
  <c r="V3" i="1" l="1"/>
  <c r="U4" i="1"/>
  <c r="W3" i="1" l="1"/>
  <c r="V4" i="1"/>
  <c r="X3" i="1" l="1"/>
  <c r="W4" i="1"/>
  <c r="Y3" i="1" l="1"/>
  <c r="X4" i="1"/>
  <c r="Z3" i="1" l="1"/>
  <c r="Y4" i="1"/>
  <c r="AA3" i="1" l="1"/>
  <c r="Z4" i="1"/>
  <c r="AB3" i="1" l="1"/>
  <c r="AA4" i="1"/>
  <c r="AC3" i="1" l="1"/>
  <c r="AB4" i="1"/>
  <c r="AD3" i="1" l="1"/>
  <c r="AC4" i="1"/>
  <c r="AE3" i="1" l="1"/>
  <c r="AD4" i="1"/>
  <c r="AF3" i="1" l="1"/>
  <c r="AE4" i="1"/>
  <c r="AG3" i="1" l="1"/>
  <c r="AF4" i="1"/>
  <c r="AH3" i="1" l="1"/>
  <c r="AG4" i="1"/>
  <c r="AI3" i="1" l="1"/>
  <c r="AI4" i="1" s="1"/>
  <c r="AH4" i="1"/>
</calcChain>
</file>

<file path=xl/sharedStrings.xml><?xml version="1.0" encoding="utf-8"?>
<sst xmlns="http://schemas.openxmlformats.org/spreadsheetml/2006/main" count="110" uniqueCount="86">
  <si>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</si>
  <si>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</si>
  <si>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</si>
  <si>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</si>
  <si>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</si>
  <si>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</si>
  <si>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</si>
  <si>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</si>
  <si>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</si>
  <si>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</si>
  <si>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</si>
  <si>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</si>
  <si>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</si>
  <si>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 Code</t>
  </si>
  <si>
    <t>Employ Name</t>
  </si>
  <si>
    <t>Designation</t>
  </si>
  <si>
    <t>Date</t>
  </si>
  <si>
    <t>Day</t>
  </si>
  <si>
    <t>Accountant</t>
  </si>
  <si>
    <t>Clark</t>
  </si>
  <si>
    <t>manager</t>
  </si>
  <si>
    <t>Technicien</t>
  </si>
  <si>
    <t>supervisor</t>
  </si>
  <si>
    <t>HR Executive</t>
  </si>
  <si>
    <t>Office Assistant</t>
  </si>
  <si>
    <t>Receptionist</t>
  </si>
  <si>
    <t>Data Analyst</t>
  </si>
  <si>
    <t>Graphic Designer</t>
  </si>
  <si>
    <t>Monika Nagar</t>
  </si>
  <si>
    <t>Namkia Singh</t>
  </si>
  <si>
    <t>Asish Thakur</t>
  </si>
  <si>
    <t>Ashok Nak</t>
  </si>
  <si>
    <t>Asish arSen</t>
  </si>
  <si>
    <t>Poonam Pandey</t>
  </si>
  <si>
    <t>Keshav Patel</t>
  </si>
  <si>
    <t>priya Soni</t>
  </si>
  <si>
    <t>Hearsh Mehta</t>
  </si>
  <si>
    <t>Sneha Gupta</t>
  </si>
  <si>
    <t>Absent</t>
  </si>
  <si>
    <t>Half Day</t>
  </si>
  <si>
    <t>Present</t>
  </si>
  <si>
    <t>DAY</t>
  </si>
  <si>
    <t>Emp Code</t>
  </si>
  <si>
    <t>Today's Over</t>
  </si>
  <si>
    <t>Total Over</t>
  </si>
  <si>
    <t>Father's Name</t>
  </si>
  <si>
    <t>Gender</t>
  </si>
  <si>
    <t>Ranjendra Nagar</t>
  </si>
  <si>
    <t>Mahash Sen</t>
  </si>
  <si>
    <t>Ajay Singh</t>
  </si>
  <si>
    <t>Shubham Thakur</t>
  </si>
  <si>
    <t>Naresh Nagar</t>
  </si>
  <si>
    <t>Vikram Pandi</t>
  </si>
  <si>
    <t>Haris Patel</t>
  </si>
  <si>
    <t>Mukesh Soni</t>
  </si>
  <si>
    <t>Prokash Mehat5a</t>
  </si>
  <si>
    <t>Vinod Gupta</t>
  </si>
  <si>
    <t>DOJ</t>
  </si>
  <si>
    <t>Location</t>
  </si>
  <si>
    <t>Pan Number</t>
  </si>
  <si>
    <t>Account Number</t>
  </si>
  <si>
    <t>PF NO.</t>
  </si>
  <si>
    <t>Basic Pay</t>
  </si>
  <si>
    <t>Paid Day</t>
  </si>
  <si>
    <t>Earn Salary</t>
  </si>
  <si>
    <t>HRA 40%</t>
  </si>
  <si>
    <t>DA 20%</t>
  </si>
  <si>
    <t>Convayence</t>
  </si>
  <si>
    <t>Over Time</t>
  </si>
  <si>
    <t>Overtime
(Charge 120/Hrs)</t>
  </si>
  <si>
    <t>Gros Salary</t>
  </si>
  <si>
    <t>PF 12%</t>
  </si>
  <si>
    <t>professipnal Tax</t>
  </si>
  <si>
    <t>Gross Deduction</t>
  </si>
  <si>
    <t>Net Salary</t>
  </si>
  <si>
    <t>ABCD1001A</t>
  </si>
  <si>
    <t>ABCD1002B</t>
  </si>
  <si>
    <t>ABCD1002C</t>
  </si>
  <si>
    <t>ABCD1002D</t>
  </si>
  <si>
    <t>ABCD1002E</t>
  </si>
  <si>
    <t>ABCD1002F</t>
  </si>
  <si>
    <t>ABCD1002G</t>
  </si>
  <si>
    <t>ABCD1002H</t>
  </si>
  <si>
    <t>ABCD1002I</t>
  </si>
  <si>
    <t>ABCD1002J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</si>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</sst>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&quot;EMP&quot;000"/>
    <numFmt numFmtId="165" formatCode="dd"/>
    <numFmt numFmtId="169" formatCode="&quot;ABCD100&quot;"/>
    <numFmt numFmtId="172" formatCode="&quot;12345678&quot;000"/>
    <numFmt numFmtId="173" formatCode="&quot;PF0000&quot;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14" fontId="0" fillId="0" borderId="1" xfId="0" applyNumberFormat="1" applyBorder="1"/>
    <xf numFmtId="169" fontId="0" fillId="0" borderId="1" xfId="0" applyNumberFormat="1" applyBorder="1"/>
    <xf numFmtId="172" fontId="0" fillId="0" borderId="1" xfId="0" applyNumberFormat="1" applyBorder="1"/>
    <xf numFmtId="173" fontId="0" fillId="0" borderId="1" xfId="0" applyNumberFormat="1" applyBorder="1"/>
    <xf numFmtId="0" fontId="0" fillId="0" borderId="1" xfId="0" applyBorder="1"/>
    <xf numFmtId="41" fontId="0" fillId="0" borderId="1" xfId="0" applyNumberFormat="1" applyBorder="1"/>
    <xf numFmtId="0" fontId="1" fillId="10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Salary Shee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158750</xdr:colOff>
      <xdr:row>3</xdr:row>
      <xdr:rowOff>119062</xdr:rowOff>
    </xdr:from>
    <xdr:to>
      <xdr:col>44</xdr:col>
      <xdr:colOff>95250</xdr:colOff>
      <xdr:row>5</xdr:row>
      <xdr:rowOff>150812</xdr:rowOff>
    </xdr:to>
    <xdr:sp macro="[0]!Macro1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4542C6D-29D4-BC86-3DA0-DB2BBB36A4B4}"/>
            </a:ext>
          </a:extLst>
        </xdr:cNvPr>
        <xdr:cNvSpPr/>
      </xdr:nvSpPr>
      <xdr:spPr>
        <a:xfrm>
          <a:off x="21883688" y="690562"/>
          <a:ext cx="1158875" cy="41275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tx1"/>
              </a:solidFill>
            </a:rPr>
            <a:t>UPDATE</a:t>
          </a:r>
        </a:p>
      </xdr:txBody>
    </xdr:sp>
    <xdr:clientData/>
  </xdr:twoCellAnchor>
  <xdr:twoCellAnchor>
    <xdr:from>
      <xdr:col>42</xdr:col>
      <xdr:colOff>127000</xdr:colOff>
      <xdr:row>7</xdr:row>
      <xdr:rowOff>15874</xdr:rowOff>
    </xdr:from>
    <xdr:to>
      <xdr:col>44</xdr:col>
      <xdr:colOff>95250</xdr:colOff>
      <xdr:row>9</xdr:row>
      <xdr:rowOff>71437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5E05E5-9DD2-426A-C96C-4B1EE289DA43}"/>
            </a:ext>
          </a:extLst>
        </xdr:cNvPr>
        <xdr:cNvSpPr/>
      </xdr:nvSpPr>
      <xdr:spPr>
        <a:xfrm>
          <a:off x="21851938" y="1349374"/>
          <a:ext cx="1190625" cy="436563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SALARY SHEET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616A-2DB3-4F91-AF0F-4CB7E5B9E9F0}">
  <dimension ref="A1:AP16"/>
  <sheetViews>
    <sheetView zoomScale="120" zoomScaleNormal="120" workbookViewId="0">
      <pane xSplit="3" topLeftCell="AL1" activePane="topRight" state="frozen"/>
      <selection pane="topRight" activeCell="AP4" sqref="AP4:AP14"/>
    </sheetView>
  </sheetViews>
  <sheetFormatPr defaultRowHeight="15" x14ac:dyDescent="0.25"/>
  <cols>
    <col min="1" max="1" width="16.42578125" bestFit="1" customWidth="1"/>
    <col min="2" max="2" width="17.28515625" bestFit="1" customWidth="1"/>
    <col min="3" max="3" width="17.85546875" bestFit="1" customWidth="1"/>
    <col min="4" max="4" width="7.140625" bestFit="1" customWidth="1"/>
    <col min="5" max="5" width="6" bestFit="1" customWidth="1"/>
    <col min="6" max="6" width="4.5703125" bestFit="1" customWidth="1"/>
    <col min="7" max="7" width="5.7109375" bestFit="1" customWidth="1"/>
    <col min="8" max="8" width="6.28515625" bestFit="1" customWidth="1"/>
    <col min="9" max="9" width="6.42578125" bestFit="1" customWidth="1"/>
    <col min="10" max="10" width="6" bestFit="1" customWidth="1"/>
    <col min="11" max="11" width="6.7109375" bestFit="1" customWidth="1"/>
    <col min="12" max="12" width="6" bestFit="1" customWidth="1"/>
    <col min="13" max="13" width="4.5703125" bestFit="1" customWidth="1"/>
    <col min="14" max="14" width="6.7109375" bestFit="1" customWidth="1"/>
    <col min="15" max="15" width="6.28515625" bestFit="1" customWidth="1"/>
    <col min="16" max="16" width="6.42578125" bestFit="1" customWidth="1"/>
    <col min="17" max="17" width="6" bestFit="1" customWidth="1"/>
    <col min="18" max="18" width="6.7109375" bestFit="1" customWidth="1"/>
    <col min="19" max="19" width="6" bestFit="1" customWidth="1"/>
    <col min="20" max="20" width="4.5703125" bestFit="1" customWidth="1"/>
    <col min="21" max="21" width="5.7109375" bestFit="1" customWidth="1"/>
    <col min="22" max="22" width="6.28515625" bestFit="1" customWidth="1"/>
    <col min="23" max="23" width="6.42578125" bestFit="1" customWidth="1"/>
    <col min="24" max="24" width="6" bestFit="1" customWidth="1"/>
    <col min="25" max="25" width="6.7109375" bestFit="1" customWidth="1"/>
    <col min="26" max="26" width="6" bestFit="1" customWidth="1"/>
    <col min="27" max="27" width="4.5703125" bestFit="1" customWidth="1"/>
    <col min="28" max="28" width="5.7109375" bestFit="1" customWidth="1"/>
    <col min="29" max="29" width="6.28515625" bestFit="1" customWidth="1"/>
    <col min="30" max="30" width="6.42578125" bestFit="1" customWidth="1"/>
    <col min="31" max="31" width="6" bestFit="1" customWidth="1"/>
    <col min="32" max="32" width="6.7109375" bestFit="1" customWidth="1"/>
    <col min="33" max="33" width="6" bestFit="1" customWidth="1"/>
    <col min="34" max="34" width="4.5703125" bestFit="1" customWidth="1"/>
    <col min="35" max="35" width="5.7109375" bestFit="1" customWidth="1"/>
    <col min="36" max="36" width="9.7109375" bestFit="1" customWidth="1"/>
    <col min="37" max="37" width="11.140625" bestFit="1" customWidth="1"/>
    <col min="38" max="38" width="10.5703125" bestFit="1" customWidth="1"/>
    <col min="40" max="40" width="13" bestFit="1" customWidth="1"/>
    <col min="41" max="41" width="16.7109375" bestFit="1" customWidth="1"/>
    <col min="42" max="42" width="13.42578125" bestFit="1" customWidth="1"/>
  </cols>
  <sheetData>
    <row r="1" spans="1:42" x14ac:dyDescent="0.25">
      <c r="A1" s="4" t="s">
        <v>0</v>
      </c>
      <c r="B1" s="12" t="s">
        <v>1</v>
      </c>
      <c r="E1" s="19">
        <f>DATEVALUE("1"&amp;B1&amp;"2026")</f>
        <v>46023</v>
      </c>
      <c r="F1" s="19"/>
      <c r="G1" s="19"/>
      <c r="J1" s="19">
        <f>EOMONTH(E1,0)</f>
        <v>46053</v>
      </c>
      <c r="K1" s="19"/>
      <c r="L1" s="19"/>
      <c r="N1" s="10" t="s">
        <v>41</v>
      </c>
      <c r="O1" s="10">
        <f>DAY(J1)</f>
        <v>31</v>
      </c>
      <c r="Q1" s="11">
        <f>IF(O1=31,31,IF(O1=30,30,IF(O1=29,29,IF(O1=28,28,""))))</f>
        <v>31</v>
      </c>
      <c r="S1" s="11">
        <f>Q1</f>
        <v>31</v>
      </c>
    </row>
    <row r="3" spans="1:42" s="5" customFormat="1" x14ac:dyDescent="0.25">
      <c r="A3" s="15" t="s">
        <v>13</v>
      </c>
      <c r="B3" s="15" t="s">
        <v>14</v>
      </c>
      <c r="C3" s="15" t="s">
        <v>15</v>
      </c>
      <c r="D3" s="9" t="s">
        <v>16</v>
      </c>
      <c r="E3" s="8">
        <f>E1</f>
        <v>46023</v>
      </c>
      <c r="F3" s="8">
        <f t="shared" ref="F3:AI3" si="0">IF(E3&lt;$J$1,E3+1,"")</f>
        <v>46024</v>
      </c>
      <c r="G3" s="8">
        <f t="shared" si="0"/>
        <v>46025</v>
      </c>
      <c r="H3" s="8">
        <f t="shared" si="0"/>
        <v>46026</v>
      </c>
      <c r="I3" s="8">
        <f t="shared" si="0"/>
        <v>46027</v>
      </c>
      <c r="J3" s="8">
        <f t="shared" si="0"/>
        <v>46028</v>
      </c>
      <c r="K3" s="8">
        <f t="shared" si="0"/>
        <v>46029</v>
      </c>
      <c r="L3" s="8">
        <f t="shared" si="0"/>
        <v>46030</v>
      </c>
      <c r="M3" s="8">
        <f t="shared" si="0"/>
        <v>46031</v>
      </c>
      <c r="N3" s="8">
        <f t="shared" si="0"/>
        <v>46032</v>
      </c>
      <c r="O3" s="8">
        <f t="shared" si="0"/>
        <v>46033</v>
      </c>
      <c r="P3" s="8">
        <f t="shared" si="0"/>
        <v>46034</v>
      </c>
      <c r="Q3" s="8">
        <f t="shared" si="0"/>
        <v>46035</v>
      </c>
      <c r="R3" s="8">
        <f t="shared" si="0"/>
        <v>46036</v>
      </c>
      <c r="S3" s="8">
        <f t="shared" si="0"/>
        <v>46037</v>
      </c>
      <c r="T3" s="8">
        <f t="shared" si="0"/>
        <v>46038</v>
      </c>
      <c r="U3" s="8">
        <f t="shared" si="0"/>
        <v>46039</v>
      </c>
      <c r="V3" s="8">
        <f t="shared" si="0"/>
        <v>46040</v>
      </c>
      <c r="W3" s="8">
        <f t="shared" si="0"/>
        <v>46041</v>
      </c>
      <c r="X3" s="8">
        <f t="shared" si="0"/>
        <v>46042</v>
      </c>
      <c r="Y3" s="8">
        <f t="shared" si="0"/>
        <v>46043</v>
      </c>
      <c r="Z3" s="8">
        <f t="shared" si="0"/>
        <v>46044</v>
      </c>
      <c r="AA3" s="8">
        <f t="shared" si="0"/>
        <v>46045</v>
      </c>
      <c r="AB3" s="8">
        <f t="shared" si="0"/>
        <v>46046</v>
      </c>
      <c r="AC3" s="8">
        <f t="shared" si="0"/>
        <v>46047</v>
      </c>
      <c r="AD3" s="8">
        <f t="shared" si="0"/>
        <v>46048</v>
      </c>
      <c r="AE3" s="8">
        <f t="shared" si="0"/>
        <v>46049</v>
      </c>
      <c r="AF3" s="8">
        <f t="shared" si="0"/>
        <v>46050</v>
      </c>
      <c r="AG3" s="8">
        <f t="shared" si="0"/>
        <v>46051</v>
      </c>
      <c r="AH3" s="8">
        <f t="shared" si="0"/>
        <v>46052</v>
      </c>
      <c r="AI3" s="8">
        <f t="shared" si="0"/>
        <v>46053</v>
      </c>
      <c r="AJ3" s="14" t="s">
        <v>38</v>
      </c>
      <c r="AK3" s="14" t="s">
        <v>39</v>
      </c>
      <c r="AL3" s="14" t="s">
        <v>40</v>
      </c>
      <c r="AN3" s="13" t="s">
        <v>42</v>
      </c>
      <c r="AO3" s="13" t="s">
        <v>43</v>
      </c>
      <c r="AP3" s="13" t="s">
        <v>44</v>
      </c>
    </row>
    <row r="4" spans="1:42" s="5" customFormat="1" x14ac:dyDescent="0.25">
      <c r="A4" s="15"/>
      <c r="B4" s="15"/>
      <c r="C4" s="15"/>
      <c r="D4" s="20" t="s">
        <v>17</v>
      </c>
      <c r="E4" s="7" t="str">
        <f>TEXT(E3,"ddd")</f>
        <v>Thu</v>
      </c>
      <c r="F4" s="7" t="str">
        <f t="shared" ref="F4:AI4" si="1">TEXT(F3,"ddd")</f>
        <v>Fri</v>
      </c>
      <c r="G4" s="7" t="str">
        <f t="shared" si="1"/>
        <v>Sat</v>
      </c>
      <c r="H4" s="7" t="str">
        <f t="shared" si="1"/>
        <v>Sun</v>
      </c>
      <c r="I4" s="7" t="str">
        <f t="shared" si="1"/>
        <v>Mon</v>
      </c>
      <c r="J4" s="7" t="str">
        <f t="shared" si="1"/>
        <v>Tue</v>
      </c>
      <c r="K4" s="7" t="str">
        <f t="shared" si="1"/>
        <v>Wed</v>
      </c>
      <c r="L4" s="7" t="str">
        <f t="shared" si="1"/>
        <v>Thu</v>
      </c>
      <c r="M4" s="7" t="str">
        <f t="shared" si="1"/>
        <v>Fri</v>
      </c>
      <c r="N4" s="7" t="str">
        <f t="shared" si="1"/>
        <v>Sat</v>
      </c>
      <c r="O4" s="7" t="str">
        <f t="shared" si="1"/>
        <v>Sun</v>
      </c>
      <c r="P4" s="7" t="str">
        <f t="shared" si="1"/>
        <v>Mon</v>
      </c>
      <c r="Q4" s="7" t="str">
        <f t="shared" si="1"/>
        <v>Tue</v>
      </c>
      <c r="R4" s="7" t="str">
        <f t="shared" si="1"/>
        <v>Wed</v>
      </c>
      <c r="S4" s="7" t="str">
        <f t="shared" si="1"/>
        <v>Thu</v>
      </c>
      <c r="T4" s="7" t="str">
        <f t="shared" si="1"/>
        <v>Fri</v>
      </c>
      <c r="U4" s="7" t="str">
        <f t="shared" si="1"/>
        <v>Sat</v>
      </c>
      <c r="V4" s="7" t="str">
        <f t="shared" si="1"/>
        <v>Sun</v>
      </c>
      <c r="W4" s="7" t="str">
        <f t="shared" si="1"/>
        <v>Mon</v>
      </c>
      <c r="X4" s="7" t="str">
        <f t="shared" si="1"/>
        <v>Tue</v>
      </c>
      <c r="Y4" s="7" t="str">
        <f t="shared" si="1"/>
        <v>Wed</v>
      </c>
      <c r="Z4" s="7" t="str">
        <f t="shared" si="1"/>
        <v>Thu</v>
      </c>
      <c r="AA4" s="7" t="str">
        <f t="shared" si="1"/>
        <v>Fri</v>
      </c>
      <c r="AB4" s="7" t="str">
        <f t="shared" si="1"/>
        <v>Sat</v>
      </c>
      <c r="AC4" s="7" t="str">
        <f t="shared" si="1"/>
        <v>Sun</v>
      </c>
      <c r="AD4" s="7" t="str">
        <f t="shared" si="1"/>
        <v>Mon</v>
      </c>
      <c r="AE4" s="7" t="str">
        <f t="shared" si="1"/>
        <v>Tue</v>
      </c>
      <c r="AF4" s="7" t="str">
        <f t="shared" si="1"/>
        <v>Wed</v>
      </c>
      <c r="AG4" s="7" t="str">
        <f t="shared" si="1"/>
        <v>Thu</v>
      </c>
      <c r="AH4" s="7" t="str">
        <f t="shared" si="1"/>
        <v>Fri</v>
      </c>
      <c r="AI4" s="7" t="str">
        <f t="shared" si="1"/>
        <v>Sat</v>
      </c>
      <c r="AJ4" s="14"/>
      <c r="AK4" s="14"/>
      <c r="AL4" s="14"/>
      <c r="AN4" s="3">
        <v>1</v>
      </c>
      <c r="AO4" s="6"/>
      <c r="AP4" s="6">
        <v>2</v>
      </c>
    </row>
    <row r="5" spans="1:42" x14ac:dyDescent="0.25">
      <c r="A5" s="3">
        <v>1</v>
      </c>
      <c r="B5" s="2" t="s">
        <v>28</v>
      </c>
      <c r="C5" s="2" t="s">
        <v>18</v>
      </c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>
        <f>COUNTIF(E5:AI5,"A")</f>
        <v>0</v>
      </c>
      <c r="AK5" s="2">
        <f>COUNTIF(F5:AJ5,"H")</f>
        <v>0</v>
      </c>
      <c r="AL5" s="2">
        <f>$Q$1-AJ5-AK5/2</f>
        <v>31</v>
      </c>
      <c r="AN5" s="3">
        <v>2</v>
      </c>
      <c r="AO5" s="6"/>
      <c r="AP5" s="6">
        <v>7</v>
      </c>
    </row>
    <row r="6" spans="1:42" x14ac:dyDescent="0.25">
      <c r="A6" s="3">
        <v>2</v>
      </c>
      <c r="B6" s="2" t="s">
        <v>32</v>
      </c>
      <c r="C6" s="2" t="s">
        <v>19</v>
      </c>
      <c r="D6" s="1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8"/>
      <c r="AI6" s="2"/>
      <c r="AJ6" s="28">
        <f t="shared" ref="AJ6:AJ14" si="2">COUNTIF(E6:AI6,"A")</f>
        <v>0</v>
      </c>
      <c r="AK6" s="28">
        <f t="shared" ref="AK6:AK14" si="3">COUNTIF(F6:AJ6,"H")</f>
        <v>0</v>
      </c>
      <c r="AL6" s="28">
        <f t="shared" ref="AL6:AL14" si="4">$Q$1-AJ6-AK6/2</f>
        <v>31</v>
      </c>
      <c r="AN6" s="3">
        <v>3</v>
      </c>
      <c r="AO6" s="6"/>
      <c r="AP6" s="6"/>
    </row>
    <row r="7" spans="1:42" x14ac:dyDescent="0.25">
      <c r="A7" s="3">
        <v>3</v>
      </c>
      <c r="B7" s="2" t="s">
        <v>33</v>
      </c>
      <c r="C7" s="2" t="s">
        <v>20</v>
      </c>
      <c r="D7" s="1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8"/>
      <c r="AI7" s="2"/>
      <c r="AJ7" s="28">
        <f t="shared" si="2"/>
        <v>0</v>
      </c>
      <c r="AK7" s="28">
        <f t="shared" si="3"/>
        <v>0</v>
      </c>
      <c r="AL7" s="28">
        <f t="shared" si="4"/>
        <v>31</v>
      </c>
      <c r="AN7" s="3">
        <v>4</v>
      </c>
      <c r="AO7" s="6"/>
      <c r="AP7" s="6">
        <v>1</v>
      </c>
    </row>
    <row r="8" spans="1:42" x14ac:dyDescent="0.25">
      <c r="A8" s="3">
        <v>4</v>
      </c>
      <c r="B8" s="2" t="s">
        <v>30</v>
      </c>
      <c r="C8" s="2" t="s">
        <v>21</v>
      </c>
      <c r="D8" s="1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8"/>
      <c r="AI8" s="2"/>
      <c r="AJ8" s="28">
        <f t="shared" si="2"/>
        <v>0</v>
      </c>
      <c r="AK8" s="28">
        <f t="shared" si="3"/>
        <v>0</v>
      </c>
      <c r="AL8" s="28">
        <f t="shared" si="4"/>
        <v>31</v>
      </c>
      <c r="AN8" s="3">
        <v>5</v>
      </c>
      <c r="AO8" s="6"/>
      <c r="AP8" s="6"/>
    </row>
    <row r="9" spans="1:42" x14ac:dyDescent="0.25">
      <c r="A9" s="3">
        <v>5</v>
      </c>
      <c r="B9" s="2" t="s">
        <v>31</v>
      </c>
      <c r="C9" s="2" t="s">
        <v>22</v>
      </c>
      <c r="D9" s="1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8"/>
      <c r="AI9" s="2"/>
      <c r="AJ9" s="28">
        <f t="shared" si="2"/>
        <v>0</v>
      </c>
      <c r="AK9" s="28">
        <f t="shared" si="3"/>
        <v>0</v>
      </c>
      <c r="AL9" s="28">
        <f t="shared" si="4"/>
        <v>31</v>
      </c>
      <c r="AN9" s="3">
        <v>6</v>
      </c>
      <c r="AO9" s="6"/>
      <c r="AP9" s="6">
        <v>4</v>
      </c>
    </row>
    <row r="10" spans="1:42" x14ac:dyDescent="0.25">
      <c r="A10" s="3">
        <v>6</v>
      </c>
      <c r="B10" s="2" t="s">
        <v>29</v>
      </c>
      <c r="C10" s="2" t="s">
        <v>23</v>
      </c>
      <c r="D10" s="1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8"/>
      <c r="AI10" s="2"/>
      <c r="AJ10" s="28">
        <f t="shared" si="2"/>
        <v>0</v>
      </c>
      <c r="AK10" s="28">
        <f t="shared" si="3"/>
        <v>0</v>
      </c>
      <c r="AL10" s="28">
        <f t="shared" si="4"/>
        <v>31</v>
      </c>
      <c r="AN10" s="3">
        <v>7</v>
      </c>
      <c r="AO10" s="6"/>
      <c r="AP10" s="6"/>
    </row>
    <row r="11" spans="1:42" x14ac:dyDescent="0.25">
      <c r="A11" s="3">
        <v>7</v>
      </c>
      <c r="B11" s="2" t="s">
        <v>34</v>
      </c>
      <c r="C11" s="2" t="s">
        <v>24</v>
      </c>
      <c r="D11" s="1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8"/>
      <c r="AI11" s="2"/>
      <c r="AJ11" s="28">
        <f t="shared" si="2"/>
        <v>0</v>
      </c>
      <c r="AK11" s="28">
        <f t="shared" si="3"/>
        <v>0</v>
      </c>
      <c r="AL11" s="28">
        <f t="shared" si="4"/>
        <v>31</v>
      </c>
      <c r="AN11" s="3">
        <v>8</v>
      </c>
      <c r="AO11" s="6"/>
      <c r="AP11" s="6"/>
    </row>
    <row r="12" spans="1:42" x14ac:dyDescent="0.25">
      <c r="A12" s="3">
        <v>8</v>
      </c>
      <c r="B12" s="2" t="s">
        <v>35</v>
      </c>
      <c r="C12" s="2" t="s">
        <v>25</v>
      </c>
      <c r="D12" s="1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8"/>
      <c r="AI12" s="2"/>
      <c r="AJ12" s="28">
        <f t="shared" si="2"/>
        <v>0</v>
      </c>
      <c r="AK12" s="28">
        <f t="shared" si="3"/>
        <v>0</v>
      </c>
      <c r="AL12" s="28">
        <f t="shared" si="4"/>
        <v>31</v>
      </c>
      <c r="AN12" s="3">
        <v>9</v>
      </c>
      <c r="AO12" s="6"/>
      <c r="AP12" s="6">
        <v>5</v>
      </c>
    </row>
    <row r="13" spans="1:42" x14ac:dyDescent="0.25">
      <c r="A13" s="3">
        <v>9</v>
      </c>
      <c r="B13" s="2" t="s">
        <v>36</v>
      </c>
      <c r="C13" s="2" t="s">
        <v>26</v>
      </c>
      <c r="D13" s="1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8"/>
      <c r="AI13" s="2"/>
      <c r="AJ13" s="28">
        <f t="shared" si="2"/>
        <v>0</v>
      </c>
      <c r="AK13" s="28">
        <f t="shared" si="3"/>
        <v>0</v>
      </c>
      <c r="AL13" s="28">
        <f t="shared" si="4"/>
        <v>31</v>
      </c>
      <c r="AN13" s="3">
        <v>10</v>
      </c>
      <c r="AO13" s="6"/>
      <c r="AP13" s="6"/>
    </row>
    <row r="14" spans="1:42" x14ac:dyDescent="0.25">
      <c r="A14" s="3">
        <v>10</v>
      </c>
      <c r="B14" s="2" t="s">
        <v>37</v>
      </c>
      <c r="C14" s="2" t="s">
        <v>27</v>
      </c>
      <c r="D14" s="1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8"/>
      <c r="AI14" s="2"/>
      <c r="AJ14" s="28">
        <f t="shared" si="2"/>
        <v>0</v>
      </c>
      <c r="AK14" s="28">
        <f t="shared" si="3"/>
        <v>0</v>
      </c>
      <c r="AL14" s="28">
        <f t="shared" si="4"/>
        <v>31</v>
      </c>
      <c r="AN14" s="3">
        <v>11</v>
      </c>
      <c r="AO14" s="6"/>
      <c r="AP14" s="6">
        <v>1</v>
      </c>
    </row>
    <row r="15" spans="1:42" x14ac:dyDescent="0.25">
      <c r="A15" s="1"/>
    </row>
    <row r="16" spans="1:42" x14ac:dyDescent="0.25">
      <c r="A16" s="1"/>
    </row>
  </sheetData>
  <mergeCells count="9">
    <mergeCell ref="D5:D14"/>
    <mergeCell ref="E1:G1"/>
    <mergeCell ref="J1:L1"/>
    <mergeCell ref="AJ3:AJ4"/>
    <mergeCell ref="AK3:AK4"/>
    <mergeCell ref="AL3:AL4"/>
    <mergeCell ref="A3:A4"/>
    <mergeCell ref="B3:B4"/>
    <mergeCell ref="C3:C4"/>
  </mergeCells>
  <conditionalFormatting sqref="E5:AI14">
    <cfRule type="expression" dxfId="0" priority="1">
      <formula>E$4="Sun"</formula>
    </cfRule>
  </conditionalFormatting>
  <dataValidations count="2">
    <dataValidation type="list" allowBlank="1" showInputMessage="1" showErrorMessage="1" sqref="B1" xr:uid="{DEDB2BA3-AB37-4984-A23D-5902904C3207}">
      <formula1>Month</formula1>
    </dataValidation>
    <dataValidation type="custom" allowBlank="1" showInputMessage="1" showErrorMessage="1" errorTitle="Alert" error="HOLY DAY" sqref="E5:AI14" xr:uid="{2F883DF0-2348-4E60-A0E4-1E2C884300F8}">
      <formula1>E$4&lt;&gt;"Sun"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2D43-2698-4974-A3FF-635E0FCD261B}">
  <dimension ref="A1:X15"/>
  <sheetViews>
    <sheetView tabSelected="1" zoomScale="120" zoomScaleNormal="120" workbookViewId="0">
      <selection activeCell="G15" sqref="G15"/>
    </sheetView>
  </sheetViews>
  <sheetFormatPr defaultRowHeight="15" x14ac:dyDescent="0.25"/>
  <cols>
    <col min="1" max="1" width="13" bestFit="1" customWidth="1"/>
    <col min="2" max="2" width="15.42578125" bestFit="1" customWidth="1"/>
    <col min="3" max="3" width="16.42578125" bestFit="1" customWidth="1"/>
    <col min="4" max="4" width="7.7109375" bestFit="1" customWidth="1"/>
    <col min="5" max="5" width="16.140625" bestFit="1" customWidth="1"/>
    <col min="6" max="6" width="11.140625" bestFit="1" customWidth="1"/>
    <col min="7" max="7" width="8.85546875" bestFit="1" customWidth="1"/>
    <col min="8" max="8" width="12.42578125" bestFit="1" customWidth="1"/>
    <col min="9" max="9" width="16.5703125" bestFit="1" customWidth="1"/>
    <col min="10" max="10" width="9.5703125" bestFit="1" customWidth="1"/>
    <col min="11" max="11" width="9.42578125" bestFit="1" customWidth="1"/>
    <col min="12" max="12" width="9" bestFit="1" customWidth="1"/>
    <col min="13" max="13" width="11.140625" bestFit="1" customWidth="1"/>
    <col min="14" max="14" width="9.140625" bestFit="1" customWidth="1"/>
    <col min="15" max="15" width="7.85546875" bestFit="1" customWidth="1"/>
    <col min="16" max="16" width="12.140625" bestFit="1" customWidth="1"/>
    <col min="17" max="17" width="10.28515625" bestFit="1" customWidth="1"/>
    <col min="18" max="18" width="16.42578125" bestFit="1" customWidth="1"/>
    <col min="19" max="19" width="11.140625" bestFit="1" customWidth="1"/>
    <col min="20" max="20" width="7.42578125" bestFit="1" customWidth="1"/>
    <col min="21" max="21" width="15.7109375" bestFit="1" customWidth="1"/>
    <col min="22" max="22" width="15.85546875" bestFit="1" customWidth="1"/>
    <col min="23" max="23" width="10.28515625" bestFit="1" customWidth="1"/>
    <col min="24" max="24" width="3.28515625" bestFit="1" customWidth="1"/>
  </cols>
  <sheetData>
    <row r="1" spans="1:24" ht="30" x14ac:dyDescent="0.25">
      <c r="A1" s="21" t="s">
        <v>13</v>
      </c>
      <c r="B1" s="21" t="s">
        <v>14</v>
      </c>
      <c r="C1" s="21" t="s">
        <v>45</v>
      </c>
      <c r="D1" s="21" t="s">
        <v>46</v>
      </c>
      <c r="E1" s="21" t="s">
        <v>15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68</v>
      </c>
      <c r="R1" s="22" t="s">
        <v>69</v>
      </c>
      <c r="S1" s="4" t="s">
        <v>70</v>
      </c>
      <c r="T1" s="4" t="s">
        <v>71</v>
      </c>
      <c r="U1" s="4" t="s">
        <v>72</v>
      </c>
      <c r="V1" s="4" t="s">
        <v>73</v>
      </c>
      <c r="W1" s="4" t="s">
        <v>74</v>
      </c>
      <c r="X1" s="30">
        <f>'Attendance Sheet'!$S$1</f>
        <v>31</v>
      </c>
    </row>
    <row r="2" spans="1:24" ht="0.75" customHeight="1" x14ac:dyDescent="0.25">
      <c r="A2" s="21"/>
      <c r="B2" s="21"/>
      <c r="C2" s="21"/>
      <c r="D2" s="21"/>
      <c r="E2" s="21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4" x14ac:dyDescent="0.25">
      <c r="A3" s="3">
        <v>1</v>
      </c>
      <c r="B3" s="2" t="s">
        <v>28</v>
      </c>
      <c r="C3" s="2" t="s">
        <v>47</v>
      </c>
      <c r="D3" s="2"/>
      <c r="E3" s="2" t="s">
        <v>18</v>
      </c>
      <c r="F3" s="24">
        <v>45301</v>
      </c>
      <c r="G3" s="2"/>
      <c r="H3" s="25" t="s">
        <v>75</v>
      </c>
      <c r="I3" s="26">
        <v>1</v>
      </c>
      <c r="J3" s="27">
        <v>1</v>
      </c>
      <c r="K3" s="29">
        <v>42000</v>
      </c>
      <c r="L3" s="2">
        <f>'Attendance Sheet'!AL5</f>
        <v>31</v>
      </c>
      <c r="M3" s="29">
        <f>K3/$X$1*L3</f>
        <v>42000</v>
      </c>
      <c r="N3" s="29">
        <f>K3*40%</f>
        <v>16800</v>
      </c>
      <c r="O3" s="29">
        <f>K3*20%</f>
        <v>8400</v>
      </c>
      <c r="P3" s="2">
        <v>3000</v>
      </c>
      <c r="Q3" s="2">
        <f>'Attendance Sheet'!AP4</f>
        <v>2</v>
      </c>
      <c r="R3" s="2">
        <f>120*Q3</f>
        <v>240</v>
      </c>
      <c r="S3" s="29">
        <f>M3+N3+O3+P3+R3</f>
        <v>70440</v>
      </c>
      <c r="T3" s="29">
        <f>K3*12%</f>
        <v>5040</v>
      </c>
      <c r="U3" s="2">
        <f>IF(S3&lt;=20000,120,IF(S3&lt;=30000,200,IF(S3&lt;=40000,250,IF(S3&lt;=50000,350,IF(S3&gt;50000,500,"")))))</f>
        <v>500</v>
      </c>
      <c r="V3" s="29">
        <f>T3+U3</f>
        <v>5540</v>
      </c>
      <c r="W3" s="29">
        <f>S3-V3</f>
        <v>64900</v>
      </c>
    </row>
    <row r="4" spans="1:24" x14ac:dyDescent="0.25">
      <c r="A4" s="3">
        <v>2</v>
      </c>
      <c r="B4" s="2" t="s">
        <v>32</v>
      </c>
      <c r="C4" s="2" t="s">
        <v>48</v>
      </c>
      <c r="D4" s="2"/>
      <c r="E4" s="2" t="s">
        <v>19</v>
      </c>
      <c r="F4" s="24">
        <v>44631</v>
      </c>
      <c r="G4" s="2"/>
      <c r="H4" s="25" t="s">
        <v>76</v>
      </c>
      <c r="I4" s="26">
        <v>2</v>
      </c>
      <c r="J4" s="27">
        <v>2</v>
      </c>
      <c r="K4" s="29">
        <v>18000</v>
      </c>
      <c r="L4" s="2">
        <f>'Attendance Sheet'!AL6</f>
        <v>31</v>
      </c>
      <c r="M4" s="29">
        <f t="shared" ref="M4:M12" si="0">K4/$X$1*L4</f>
        <v>18000</v>
      </c>
      <c r="N4" s="29">
        <f t="shared" ref="N4:N12" si="1">K4*40%</f>
        <v>7200</v>
      </c>
      <c r="O4" s="29">
        <f t="shared" ref="O4:O12" si="2">K4*20%</f>
        <v>3600</v>
      </c>
      <c r="P4" s="2"/>
      <c r="Q4" s="2">
        <f>'Attendance Sheet'!AP5</f>
        <v>7</v>
      </c>
      <c r="R4" s="28">
        <f t="shared" ref="R4:R13" si="3">120*Q4</f>
        <v>840</v>
      </c>
      <c r="S4" s="29">
        <f t="shared" ref="S4:S13" si="4">M4+N4+O4+P4+R4</f>
        <v>29640</v>
      </c>
      <c r="T4" s="29">
        <f t="shared" ref="T4:T13" si="5">K4*12%</f>
        <v>2160</v>
      </c>
      <c r="U4" s="28">
        <f t="shared" ref="U4:U13" si="6">IF(S4&lt;=20000,120,IF(S4&lt;=30000,200,IF(S4&lt;=40000,250,IF(S4&lt;=50000,350,IF(S4&gt;50000,500,"")))))</f>
        <v>200</v>
      </c>
      <c r="V4" s="29">
        <f t="shared" ref="V4:V13" si="7">T4+U4</f>
        <v>2360</v>
      </c>
      <c r="W4" s="29">
        <f t="shared" ref="W4:W13" si="8">S4-V4</f>
        <v>27280</v>
      </c>
    </row>
    <row r="5" spans="1:24" x14ac:dyDescent="0.25">
      <c r="A5" s="3">
        <v>3</v>
      </c>
      <c r="B5" s="2" t="s">
        <v>33</v>
      </c>
      <c r="C5" s="2" t="s">
        <v>49</v>
      </c>
      <c r="D5" s="2"/>
      <c r="E5" s="2" t="s">
        <v>20</v>
      </c>
      <c r="F5" s="24">
        <v>43961</v>
      </c>
      <c r="G5" s="2"/>
      <c r="H5" s="25" t="s">
        <v>77</v>
      </c>
      <c r="I5" s="26">
        <v>3</v>
      </c>
      <c r="J5" s="27">
        <v>3</v>
      </c>
      <c r="K5" s="29">
        <v>22000</v>
      </c>
      <c r="L5" s="2">
        <f>'Attendance Sheet'!AL7</f>
        <v>31</v>
      </c>
      <c r="M5" s="29">
        <f t="shared" si="0"/>
        <v>22000</v>
      </c>
      <c r="N5" s="29">
        <f t="shared" si="1"/>
        <v>8800</v>
      </c>
      <c r="O5" s="29">
        <f t="shared" si="2"/>
        <v>4400</v>
      </c>
      <c r="P5" s="2">
        <v>25000</v>
      </c>
      <c r="Q5" s="2">
        <f>'Attendance Sheet'!AP6</f>
        <v>0</v>
      </c>
      <c r="R5" s="28">
        <f t="shared" si="3"/>
        <v>0</v>
      </c>
      <c r="S5" s="29">
        <f t="shared" si="4"/>
        <v>60200</v>
      </c>
      <c r="T5" s="29">
        <f t="shared" si="5"/>
        <v>2640</v>
      </c>
      <c r="U5" s="28">
        <f t="shared" si="6"/>
        <v>500</v>
      </c>
      <c r="V5" s="29">
        <f t="shared" si="7"/>
        <v>3140</v>
      </c>
      <c r="W5" s="29">
        <f t="shared" si="8"/>
        <v>57060</v>
      </c>
    </row>
    <row r="6" spans="1:24" x14ac:dyDescent="0.25">
      <c r="A6" s="3">
        <v>4</v>
      </c>
      <c r="B6" s="2" t="s">
        <v>30</v>
      </c>
      <c r="C6" s="2" t="s">
        <v>50</v>
      </c>
      <c r="D6" s="2"/>
      <c r="E6" s="2" t="s">
        <v>21</v>
      </c>
      <c r="F6" s="24">
        <v>44751</v>
      </c>
      <c r="G6" s="2"/>
      <c r="H6" s="25" t="s">
        <v>78</v>
      </c>
      <c r="I6" s="26">
        <v>4</v>
      </c>
      <c r="J6" s="27">
        <v>4</v>
      </c>
      <c r="K6" s="29">
        <v>20000</v>
      </c>
      <c r="L6" s="2">
        <f>'Attendance Sheet'!AL8</f>
        <v>31</v>
      </c>
      <c r="M6" s="29">
        <f t="shared" si="0"/>
        <v>20000</v>
      </c>
      <c r="N6" s="29">
        <f t="shared" si="1"/>
        <v>8000</v>
      </c>
      <c r="O6" s="29">
        <f t="shared" si="2"/>
        <v>4000</v>
      </c>
      <c r="P6" s="2"/>
      <c r="Q6" s="2">
        <f>'Attendance Sheet'!AP7</f>
        <v>1</v>
      </c>
      <c r="R6" s="28">
        <f t="shared" si="3"/>
        <v>120</v>
      </c>
      <c r="S6" s="29">
        <f t="shared" si="4"/>
        <v>32120</v>
      </c>
      <c r="T6" s="29">
        <f t="shared" si="5"/>
        <v>2400</v>
      </c>
      <c r="U6" s="28">
        <f t="shared" si="6"/>
        <v>250</v>
      </c>
      <c r="V6" s="29">
        <f t="shared" si="7"/>
        <v>2650</v>
      </c>
      <c r="W6" s="29">
        <f t="shared" si="8"/>
        <v>29470</v>
      </c>
    </row>
    <row r="7" spans="1:24" x14ac:dyDescent="0.25">
      <c r="A7" s="3">
        <v>5</v>
      </c>
      <c r="B7" s="2" t="s">
        <v>31</v>
      </c>
      <c r="C7" s="2" t="s">
        <v>51</v>
      </c>
      <c r="D7" s="2"/>
      <c r="E7" s="2" t="s">
        <v>22</v>
      </c>
      <c r="F7" s="24">
        <v>43350</v>
      </c>
      <c r="G7" s="2"/>
      <c r="H7" s="25" t="s">
        <v>79</v>
      </c>
      <c r="I7" s="26">
        <v>5</v>
      </c>
      <c r="J7" s="27">
        <v>5</v>
      </c>
      <c r="K7" s="29">
        <v>35000</v>
      </c>
      <c r="L7" s="2">
        <f>'Attendance Sheet'!AL9</f>
        <v>31</v>
      </c>
      <c r="M7" s="29">
        <f t="shared" si="0"/>
        <v>35000</v>
      </c>
      <c r="N7" s="29">
        <f t="shared" si="1"/>
        <v>14000</v>
      </c>
      <c r="O7" s="29">
        <f t="shared" si="2"/>
        <v>7000</v>
      </c>
      <c r="P7" s="2"/>
      <c r="Q7" s="2">
        <f>'Attendance Sheet'!AP8</f>
        <v>0</v>
      </c>
      <c r="R7" s="28">
        <f t="shared" si="3"/>
        <v>0</v>
      </c>
      <c r="S7" s="29">
        <f t="shared" si="4"/>
        <v>56000</v>
      </c>
      <c r="T7" s="29">
        <f t="shared" si="5"/>
        <v>4200</v>
      </c>
      <c r="U7" s="28">
        <f t="shared" si="6"/>
        <v>500</v>
      </c>
      <c r="V7" s="29">
        <f t="shared" si="7"/>
        <v>4700</v>
      </c>
      <c r="W7" s="29">
        <f t="shared" si="8"/>
        <v>51300</v>
      </c>
    </row>
    <row r="8" spans="1:24" x14ac:dyDescent="0.25">
      <c r="A8" s="3">
        <v>6</v>
      </c>
      <c r="B8" s="2" t="s">
        <v>29</v>
      </c>
      <c r="C8" s="2" t="s">
        <v>52</v>
      </c>
      <c r="D8" s="2"/>
      <c r="E8" s="2" t="s">
        <v>23</v>
      </c>
      <c r="F8" s="24">
        <v>44871</v>
      </c>
      <c r="G8" s="2"/>
      <c r="H8" s="25" t="s">
        <v>80</v>
      </c>
      <c r="I8" s="26">
        <v>6</v>
      </c>
      <c r="J8" s="27">
        <v>6</v>
      </c>
      <c r="K8" s="29">
        <v>22500</v>
      </c>
      <c r="L8" s="2">
        <f>'Attendance Sheet'!AL10</f>
        <v>31</v>
      </c>
      <c r="M8" s="29">
        <f t="shared" si="0"/>
        <v>22500</v>
      </c>
      <c r="N8" s="29">
        <f t="shared" si="1"/>
        <v>9000</v>
      </c>
      <c r="O8" s="29">
        <f t="shared" si="2"/>
        <v>4500</v>
      </c>
      <c r="P8" s="2">
        <v>1200</v>
      </c>
      <c r="Q8" s="2">
        <f>'Attendance Sheet'!AP9</f>
        <v>4</v>
      </c>
      <c r="R8" s="28">
        <f t="shared" si="3"/>
        <v>480</v>
      </c>
      <c r="S8" s="29">
        <f t="shared" si="4"/>
        <v>37680</v>
      </c>
      <c r="T8" s="29">
        <f t="shared" si="5"/>
        <v>2700</v>
      </c>
      <c r="U8" s="28">
        <f t="shared" si="6"/>
        <v>250</v>
      </c>
      <c r="V8" s="29">
        <f t="shared" si="7"/>
        <v>2950</v>
      </c>
      <c r="W8" s="29">
        <f t="shared" si="8"/>
        <v>34730</v>
      </c>
    </row>
    <row r="9" spans="1:24" x14ac:dyDescent="0.25">
      <c r="A9" s="3">
        <v>7</v>
      </c>
      <c r="B9" s="2" t="s">
        <v>34</v>
      </c>
      <c r="C9" s="2" t="s">
        <v>53</v>
      </c>
      <c r="D9" s="2"/>
      <c r="E9" s="2" t="s">
        <v>24</v>
      </c>
      <c r="F9" s="24">
        <v>45662</v>
      </c>
      <c r="G9" s="2"/>
      <c r="H9" s="25" t="s">
        <v>81</v>
      </c>
      <c r="I9" s="26">
        <v>7</v>
      </c>
      <c r="J9" s="27">
        <v>7</v>
      </c>
      <c r="K9" s="29">
        <v>25000</v>
      </c>
      <c r="L9" s="2">
        <f>'Attendance Sheet'!AL11</f>
        <v>31</v>
      </c>
      <c r="M9" s="29">
        <f t="shared" si="0"/>
        <v>25000</v>
      </c>
      <c r="N9" s="29">
        <f t="shared" si="1"/>
        <v>10000</v>
      </c>
      <c r="O9" s="29">
        <f t="shared" si="2"/>
        <v>5000</v>
      </c>
      <c r="P9" s="2"/>
      <c r="Q9" s="2">
        <f>'Attendance Sheet'!AP10</f>
        <v>0</v>
      </c>
      <c r="R9" s="28">
        <f t="shared" si="3"/>
        <v>0</v>
      </c>
      <c r="S9" s="29">
        <f t="shared" si="4"/>
        <v>40000</v>
      </c>
      <c r="T9" s="29">
        <f t="shared" si="5"/>
        <v>3000</v>
      </c>
      <c r="U9" s="28">
        <f t="shared" si="6"/>
        <v>250</v>
      </c>
      <c r="V9" s="29">
        <f t="shared" si="7"/>
        <v>3250</v>
      </c>
      <c r="W9" s="29">
        <f t="shared" si="8"/>
        <v>36750</v>
      </c>
    </row>
    <row r="10" spans="1:24" x14ac:dyDescent="0.25">
      <c r="A10" s="3">
        <v>8</v>
      </c>
      <c r="B10" s="2" t="s">
        <v>35</v>
      </c>
      <c r="C10" s="2" t="s">
        <v>54</v>
      </c>
      <c r="D10" s="2"/>
      <c r="E10" s="2" t="s">
        <v>25</v>
      </c>
      <c r="F10" s="24">
        <v>44991</v>
      </c>
      <c r="G10" s="2"/>
      <c r="H10" s="25" t="s">
        <v>82</v>
      </c>
      <c r="I10" s="26">
        <v>8</v>
      </c>
      <c r="J10" s="27">
        <v>8</v>
      </c>
      <c r="K10" s="29">
        <v>28000</v>
      </c>
      <c r="L10" s="2">
        <f>'Attendance Sheet'!AL12</f>
        <v>31</v>
      </c>
      <c r="M10" s="29">
        <f t="shared" si="0"/>
        <v>28000</v>
      </c>
      <c r="N10" s="29">
        <f t="shared" si="1"/>
        <v>11200</v>
      </c>
      <c r="O10" s="29">
        <f t="shared" si="2"/>
        <v>5600</v>
      </c>
      <c r="P10" s="2">
        <v>1500</v>
      </c>
      <c r="Q10" s="2">
        <f>'Attendance Sheet'!AP11</f>
        <v>0</v>
      </c>
      <c r="R10" s="28">
        <f t="shared" si="3"/>
        <v>0</v>
      </c>
      <c r="S10" s="29">
        <f t="shared" si="4"/>
        <v>46300</v>
      </c>
      <c r="T10" s="29">
        <f t="shared" si="5"/>
        <v>3360</v>
      </c>
      <c r="U10" s="28">
        <f t="shared" si="6"/>
        <v>350</v>
      </c>
      <c r="V10" s="29">
        <f t="shared" si="7"/>
        <v>3710</v>
      </c>
      <c r="W10" s="29">
        <f t="shared" si="8"/>
        <v>42590</v>
      </c>
    </row>
    <row r="11" spans="1:24" x14ac:dyDescent="0.25">
      <c r="A11" s="3">
        <v>9</v>
      </c>
      <c r="B11" s="2" t="s">
        <v>36</v>
      </c>
      <c r="C11" s="2" t="s">
        <v>55</v>
      </c>
      <c r="D11" s="2"/>
      <c r="E11" s="2" t="s">
        <v>26</v>
      </c>
      <c r="F11" s="24">
        <v>45051</v>
      </c>
      <c r="G11" s="2"/>
      <c r="H11" s="25" t="s">
        <v>83</v>
      </c>
      <c r="I11" s="26">
        <v>9</v>
      </c>
      <c r="J11" s="27">
        <v>9</v>
      </c>
      <c r="K11" s="29">
        <v>18000</v>
      </c>
      <c r="L11" s="2">
        <f>'Attendance Sheet'!AL13</f>
        <v>31</v>
      </c>
      <c r="M11" s="29">
        <f t="shared" si="0"/>
        <v>18000</v>
      </c>
      <c r="N11" s="29">
        <f t="shared" si="1"/>
        <v>7200</v>
      </c>
      <c r="O11" s="29">
        <f t="shared" si="2"/>
        <v>3600</v>
      </c>
      <c r="P11" s="2"/>
      <c r="Q11" s="2">
        <f>'Attendance Sheet'!AP12</f>
        <v>5</v>
      </c>
      <c r="R11" s="28">
        <f t="shared" si="3"/>
        <v>600</v>
      </c>
      <c r="S11" s="29">
        <f t="shared" si="4"/>
        <v>29400</v>
      </c>
      <c r="T11" s="29">
        <f t="shared" si="5"/>
        <v>2160</v>
      </c>
      <c r="U11" s="28">
        <f t="shared" si="6"/>
        <v>200</v>
      </c>
      <c r="V11" s="29">
        <f t="shared" si="7"/>
        <v>2360</v>
      </c>
      <c r="W11" s="29">
        <f t="shared" si="8"/>
        <v>27040</v>
      </c>
    </row>
    <row r="12" spans="1:24" x14ac:dyDescent="0.25">
      <c r="A12" s="3">
        <v>10</v>
      </c>
      <c r="B12" s="2" t="s">
        <v>37</v>
      </c>
      <c r="C12" s="2" t="s">
        <v>56</v>
      </c>
      <c r="D12" s="2"/>
      <c r="E12" s="2" t="s">
        <v>27</v>
      </c>
      <c r="F12" s="24">
        <v>45477</v>
      </c>
      <c r="G12" s="2"/>
      <c r="H12" s="25" t="s">
        <v>84</v>
      </c>
      <c r="I12" s="26">
        <v>10</v>
      </c>
      <c r="J12" s="27">
        <v>10</v>
      </c>
      <c r="K12" s="29">
        <v>25000</v>
      </c>
      <c r="L12" s="2">
        <f>'Attendance Sheet'!AL14</f>
        <v>31</v>
      </c>
      <c r="M12" s="29">
        <f t="shared" si="0"/>
        <v>25000</v>
      </c>
      <c r="N12" s="29">
        <f t="shared" si="1"/>
        <v>10000</v>
      </c>
      <c r="O12" s="29">
        <f t="shared" si="2"/>
        <v>5000</v>
      </c>
      <c r="P12" s="2"/>
      <c r="Q12" s="2">
        <f>'Attendance Sheet'!AP13</f>
        <v>0</v>
      </c>
      <c r="R12" s="28">
        <f t="shared" si="3"/>
        <v>0</v>
      </c>
      <c r="S12" s="29">
        <f t="shared" si="4"/>
        <v>40000</v>
      </c>
      <c r="T12" s="29">
        <f t="shared" si="5"/>
        <v>3000</v>
      </c>
      <c r="U12" s="28">
        <f t="shared" si="6"/>
        <v>250</v>
      </c>
      <c r="V12" s="29">
        <f t="shared" si="7"/>
        <v>3250</v>
      </c>
      <c r="W12" s="29">
        <f t="shared" si="8"/>
        <v>36750</v>
      </c>
    </row>
    <row r="15" spans="1:24" x14ac:dyDescent="0.25">
      <c r="R15" t="s">
        <v>85</v>
      </c>
    </row>
  </sheetData>
  <mergeCells count="5">
    <mergeCell ref="A1:A2"/>
    <mergeCell ref="B1:B2"/>
    <mergeCell ref="E1:E2"/>
    <mergeCell ref="C1:C2"/>
    <mergeCell ref="D1:D2"/>
  </mergeCells>
  <dataValidations count="2">
    <dataValidation type="list" allowBlank="1" showInputMessage="1" showErrorMessage="1" sqref="D3:D12" xr:uid="{32D355A0-C4E0-4CAF-8003-C2F69C9630EB}">
      <formula1>"Male,Female"</formula1>
    </dataValidation>
    <dataValidation type="list" allowBlank="1" showInputMessage="1" showErrorMessage="1" sqref="G3:G12" xr:uid="{7DC39BF0-C2B7-4165-9345-F5A2D80F2A4A}">
      <formula1>"Delhi,Mumbai,Kolkata,Chinnai,Hydrabad,Bangalour,Jaipur,Lucknow,Indore,Bhopal,Gujrat,Assam,Nagpur"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3521-B3E9-4427-BC3C-4B60D23E97F9}">
  <dimension ref="A1:A12"/>
  <sheetViews>
    <sheetView workbookViewId="0">
      <selection activeCell="D10" sqref="D10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Attendance Sheet</vt:lpstr>
      <vt:lpstr>Salary Sheet</vt:lpstr>
      <vt:lpstr>Sheet3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Guria</dc:creator>
  <cp:lastModifiedBy>Arun Guria</cp:lastModifiedBy>
  <dcterms:created xsi:type="dcterms:W3CDTF">2026-04-05T02:19:12Z</dcterms:created>
  <dcterms:modified xsi:type="dcterms:W3CDTF">2026-04-05T12:12:36Z</dcterms:modified>
</cp:coreProperties>
</file>