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Database\"/>
    </mc:Choice>
  </mc:AlternateContent>
  <xr:revisionPtr revIDLastSave="0" documentId="8_{1FAF39AA-F4FE-4929-B55D-7EA4F30E6D32}" xr6:coauthVersionLast="47" xr6:coauthVersionMax="47" xr10:uidLastSave="{00000000-0000-0000-0000-000000000000}"/>
  <bookViews>
    <workbookView xWindow="-120" yWindow="-120" windowWidth="20730" windowHeight="11040" xr2:uid="{392CC6B4-3228-48AB-9C75-E0AFD04C3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" i="1" l="1"/>
  <c r="B27" i="1" s="1"/>
  <c r="V19" i="1"/>
  <c r="U19" i="1"/>
  <c r="T19" i="1"/>
  <c r="W19" i="1" s="1"/>
  <c r="V18" i="1"/>
  <c r="U18" i="1"/>
  <c r="T18" i="1"/>
  <c r="V17" i="1"/>
  <c r="U17" i="1"/>
  <c r="T17" i="1"/>
  <c r="V16" i="1"/>
  <c r="U16" i="1"/>
  <c r="T16" i="1"/>
  <c r="W16" i="1" s="1"/>
  <c r="V15" i="1"/>
  <c r="U15" i="1"/>
  <c r="T15" i="1"/>
  <c r="W15" i="1" s="1"/>
  <c r="V14" i="1"/>
  <c r="U14" i="1"/>
  <c r="T14" i="1"/>
  <c r="V13" i="1"/>
  <c r="U13" i="1"/>
  <c r="T13" i="1"/>
  <c r="V12" i="1"/>
  <c r="U12" i="1"/>
  <c r="T12" i="1"/>
  <c r="W12" i="1" s="1"/>
  <c r="V11" i="1"/>
  <c r="U11" i="1"/>
  <c r="T11" i="1"/>
  <c r="W11" i="1" s="1"/>
  <c r="V10" i="1"/>
  <c r="U10" i="1"/>
  <c r="T10" i="1"/>
  <c r="V9" i="1"/>
  <c r="U9" i="1"/>
  <c r="T9" i="1"/>
  <c r="V8" i="1"/>
  <c r="U8" i="1"/>
  <c r="T8" i="1"/>
  <c r="W8" i="1" s="1"/>
  <c r="V7" i="1"/>
  <c r="U7" i="1"/>
  <c r="T7" i="1"/>
  <c r="V6" i="1"/>
  <c r="U6" i="1"/>
  <c r="T6" i="1"/>
  <c r="V5" i="1"/>
  <c r="U5" i="1"/>
  <c r="T5" i="1"/>
  <c r="F20" i="1"/>
  <c r="B26" i="1" s="1"/>
  <c r="H6" i="1"/>
  <c r="I6" i="1"/>
  <c r="J6" i="1"/>
  <c r="H7" i="1"/>
  <c r="I7" i="1"/>
  <c r="J7" i="1"/>
  <c r="H8" i="1"/>
  <c r="I8" i="1"/>
  <c r="J8" i="1"/>
  <c r="H9" i="1"/>
  <c r="K9" i="1" s="1"/>
  <c r="I9" i="1"/>
  <c r="J9" i="1"/>
  <c r="H10" i="1"/>
  <c r="I10" i="1"/>
  <c r="J10" i="1"/>
  <c r="H11" i="1"/>
  <c r="I11" i="1"/>
  <c r="J11" i="1"/>
  <c r="H12" i="1"/>
  <c r="I12" i="1"/>
  <c r="J12" i="1"/>
  <c r="H13" i="1"/>
  <c r="K13" i="1" s="1"/>
  <c r="I13" i="1"/>
  <c r="J13" i="1"/>
  <c r="H14" i="1"/>
  <c r="I14" i="1"/>
  <c r="J14" i="1"/>
  <c r="H15" i="1"/>
  <c r="I15" i="1"/>
  <c r="J15" i="1"/>
  <c r="H16" i="1"/>
  <c r="I16" i="1"/>
  <c r="J16" i="1"/>
  <c r="H17" i="1"/>
  <c r="K17" i="1" s="1"/>
  <c r="I17" i="1"/>
  <c r="J17" i="1"/>
  <c r="H18" i="1"/>
  <c r="I18" i="1"/>
  <c r="J18" i="1"/>
  <c r="H19" i="1"/>
  <c r="I19" i="1"/>
  <c r="J19" i="1"/>
  <c r="J5" i="1"/>
  <c r="I5" i="1"/>
  <c r="H5" i="1"/>
  <c r="K5" i="1" s="1"/>
  <c r="W7" i="1" l="1"/>
  <c r="U20" i="1"/>
  <c r="D27" i="1" s="1"/>
  <c r="T20" i="1"/>
  <c r="C27" i="1" s="1"/>
  <c r="K19" i="1"/>
  <c r="K15" i="1"/>
  <c r="K11" i="1"/>
  <c r="W6" i="1"/>
  <c r="W20" i="1" s="1"/>
  <c r="W10" i="1"/>
  <c r="W14" i="1"/>
  <c r="W18" i="1"/>
  <c r="K18" i="1"/>
  <c r="K14" i="1"/>
  <c r="K10" i="1"/>
  <c r="V20" i="1"/>
  <c r="E27" i="1" s="1"/>
  <c r="K16" i="1"/>
  <c r="K12" i="1"/>
  <c r="K8" i="1"/>
  <c r="W5" i="1"/>
  <c r="W9" i="1"/>
  <c r="W13" i="1"/>
  <c r="W17" i="1"/>
  <c r="I20" i="1"/>
  <c r="D26" i="1" s="1"/>
  <c r="D29" i="1" s="1"/>
  <c r="K6" i="1"/>
  <c r="J20" i="1"/>
  <c r="E26" i="1" s="1"/>
  <c r="E29" i="1" s="1"/>
  <c r="K7" i="1"/>
  <c r="H20" i="1"/>
  <c r="C26" i="1" s="1"/>
  <c r="C29" i="1" l="1"/>
  <c r="C31" i="1" s="1"/>
  <c r="K20" i="1"/>
</calcChain>
</file>

<file path=xl/sharedStrings.xml><?xml version="1.0" encoding="utf-8"?>
<sst xmlns="http://schemas.openxmlformats.org/spreadsheetml/2006/main" count="75" uniqueCount="27">
  <si>
    <t>PURCHASE</t>
  </si>
  <si>
    <t>sales</t>
  </si>
  <si>
    <t>Party Name</t>
  </si>
  <si>
    <t>GST No.</t>
  </si>
  <si>
    <t>Invoice No.</t>
  </si>
  <si>
    <t>Date</t>
  </si>
  <si>
    <t>Rate</t>
  </si>
  <si>
    <t>Taxable
Value</t>
  </si>
  <si>
    <t>IGST
(Y/N)</t>
  </si>
  <si>
    <t>IGS</t>
  </si>
  <si>
    <t>CGST</t>
  </si>
  <si>
    <t>SGST</t>
  </si>
  <si>
    <t>Total Amount</t>
  </si>
  <si>
    <t>Dev Trading</t>
  </si>
  <si>
    <t>Arus Retail</t>
  </si>
  <si>
    <t>Pankaj</t>
  </si>
  <si>
    <t>Naman</t>
  </si>
  <si>
    <t>Y</t>
  </si>
  <si>
    <t>N</t>
  </si>
  <si>
    <t>TOTAL</t>
  </si>
  <si>
    <t>GST Calculation</t>
  </si>
  <si>
    <t>INPUT TAX</t>
  </si>
  <si>
    <t>OUTPUT TAX</t>
  </si>
  <si>
    <t>GST PAYABLE</t>
  </si>
  <si>
    <t>TOTAL TAX LIABILITIES</t>
  </si>
  <si>
    <t>PARTICULAR</t>
  </si>
  <si>
    <t>ARUN GROUP OF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</si>
</sst>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98BE-7C1C-4C90-8B69-693A39A63372}">
  <dimension ref="A1:W31"/>
  <sheetViews>
    <sheetView tabSelected="1" zoomScale="85" zoomScaleNormal="85" workbookViewId="0">
      <selection activeCell="F21" sqref="F21"/>
    </sheetView>
  </sheetViews>
  <sheetFormatPr defaultRowHeight="15" x14ac:dyDescent="0.25"/>
  <cols>
    <col min="1" max="1" width="16.28515625" customWidth="1"/>
    <col min="2" max="2" width="21.28515625" bestFit="1" customWidth="1"/>
    <col min="3" max="3" width="11" bestFit="1" customWidth="1"/>
    <col min="4" max="4" width="11.5703125" bestFit="1" customWidth="1"/>
    <col min="5" max="5" width="5.140625" bestFit="1" customWidth="1"/>
    <col min="6" max="6" width="7.85546875" bestFit="1" customWidth="1"/>
    <col min="7" max="7" width="6" bestFit="1" customWidth="1"/>
    <col min="8" max="8" width="4.5703125" bestFit="1" customWidth="1"/>
    <col min="9" max="9" width="5.5703125" bestFit="1" customWidth="1"/>
    <col min="10" max="10" width="5.42578125" bestFit="1" customWidth="1"/>
    <col min="11" max="11" width="13.28515625" bestFit="1" customWidth="1"/>
    <col min="12" max="12" width="2.7109375" customWidth="1"/>
    <col min="13" max="13" width="16.28515625" customWidth="1"/>
    <col min="14" max="14" width="18.5703125" customWidth="1"/>
    <col min="15" max="15" width="11" bestFit="1" customWidth="1"/>
    <col min="16" max="16" width="11.5703125" bestFit="1" customWidth="1"/>
    <col min="17" max="17" width="5.140625" bestFit="1" customWidth="1"/>
    <col min="18" max="18" width="7.85546875" bestFit="1" customWidth="1"/>
    <col min="19" max="19" width="6" bestFit="1" customWidth="1"/>
    <col min="20" max="20" width="5.7109375" bestFit="1" customWidth="1"/>
    <col min="21" max="21" width="5.5703125" bestFit="1" customWidth="1"/>
    <col min="22" max="22" width="5.42578125" bestFit="1" customWidth="1"/>
    <col min="23" max="23" width="13.28515625" bestFit="1" customWidth="1"/>
  </cols>
  <sheetData>
    <row r="1" spans="1:23" x14ac:dyDescent="0.25">
      <c r="A1" s="2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x14ac:dyDescent="0.25">
      <c r="A3" s="4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 t="s">
        <v>1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7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5"/>
      <c r="M4" s="6" t="s">
        <v>2</v>
      </c>
      <c r="N4" s="6" t="s">
        <v>3</v>
      </c>
      <c r="O4" s="6" t="s">
        <v>4</v>
      </c>
      <c r="P4" s="6" t="s">
        <v>5</v>
      </c>
      <c r="Q4" s="6" t="s">
        <v>6</v>
      </c>
      <c r="R4" s="7" t="s">
        <v>7</v>
      </c>
      <c r="S4" s="7" t="s">
        <v>8</v>
      </c>
      <c r="T4" s="6" t="s">
        <v>9</v>
      </c>
      <c r="U4" s="6" t="s">
        <v>10</v>
      </c>
      <c r="V4" s="6" t="s">
        <v>11</v>
      </c>
      <c r="W4" s="6" t="s">
        <v>12</v>
      </c>
    </row>
    <row r="5" spans="1:23" x14ac:dyDescent="0.25">
      <c r="A5" s="8" t="s">
        <v>13</v>
      </c>
      <c r="B5" s="11">
        <v>123456789123456</v>
      </c>
      <c r="C5" s="8">
        <v>132</v>
      </c>
      <c r="D5" s="9">
        <v>46054</v>
      </c>
      <c r="E5" s="10">
        <v>0.12</v>
      </c>
      <c r="F5" s="8">
        <v>6000</v>
      </c>
      <c r="G5" s="8" t="s">
        <v>18</v>
      </c>
      <c r="H5" s="8">
        <f>IF(G5="Y",F5*E5,0)</f>
        <v>0</v>
      </c>
      <c r="I5" s="8">
        <f>IF(G5="Y",0,F5*E5/2)</f>
        <v>360</v>
      </c>
      <c r="J5" s="8">
        <f>IF(G5="Y",0,F5*E5/2)</f>
        <v>360</v>
      </c>
      <c r="K5" s="8">
        <f>SUM(H5:J5)</f>
        <v>720</v>
      </c>
      <c r="M5" s="8" t="s">
        <v>13</v>
      </c>
      <c r="N5" s="11">
        <v>123456789123456</v>
      </c>
      <c r="O5" s="8">
        <v>132</v>
      </c>
      <c r="P5" s="9">
        <v>46054</v>
      </c>
      <c r="Q5" s="10">
        <v>0.12</v>
      </c>
      <c r="R5" s="8">
        <v>10000</v>
      </c>
      <c r="S5" s="8" t="s">
        <v>18</v>
      </c>
      <c r="T5" s="8">
        <f>IF(S5="Y",R5*Q5,0)</f>
        <v>0</v>
      </c>
      <c r="U5" s="8">
        <f>IF(S5="Y",0,R5*Q5/2)</f>
        <v>600</v>
      </c>
      <c r="V5" s="8">
        <f>IF(S5="Y",0,R5*Q5/2)</f>
        <v>600</v>
      </c>
      <c r="W5" s="8">
        <f>SUM(T5:V5)</f>
        <v>1200</v>
      </c>
    </row>
    <row r="6" spans="1:23" x14ac:dyDescent="0.25">
      <c r="A6" s="8" t="s">
        <v>14</v>
      </c>
      <c r="B6" s="11">
        <v>123456789123456</v>
      </c>
      <c r="C6" s="8">
        <v>232</v>
      </c>
      <c r="D6" s="9">
        <v>46055</v>
      </c>
      <c r="E6" s="10">
        <v>0.18</v>
      </c>
      <c r="F6" s="8">
        <v>5000</v>
      </c>
      <c r="G6" s="8" t="s">
        <v>17</v>
      </c>
      <c r="H6" s="8">
        <f t="shared" ref="H6:H19" si="0">IF(G6="Y",F6*E6,0)</f>
        <v>900</v>
      </c>
      <c r="I6" s="8">
        <f t="shared" ref="I6:I19" si="1">IF(G6="Y",0,F6*E6/2)</f>
        <v>0</v>
      </c>
      <c r="J6" s="8">
        <f t="shared" ref="J6:J19" si="2">IF(G6="Y",0,F6*E6/2)</f>
        <v>0</v>
      </c>
      <c r="K6" s="8">
        <f t="shared" ref="K6:K19" si="3">SUM(H6:J6)</f>
        <v>900</v>
      </c>
      <c r="M6" s="8" t="s">
        <v>14</v>
      </c>
      <c r="N6" s="11">
        <v>123456789123456</v>
      </c>
      <c r="O6" s="8">
        <v>232</v>
      </c>
      <c r="P6" s="9">
        <v>46055</v>
      </c>
      <c r="Q6" s="10">
        <v>0.18</v>
      </c>
      <c r="R6" s="8">
        <v>7000</v>
      </c>
      <c r="S6" s="8" t="s">
        <v>17</v>
      </c>
      <c r="T6" s="8">
        <f t="shared" ref="T6:T19" si="4">IF(S6="Y",R6*Q6,0)</f>
        <v>1260</v>
      </c>
      <c r="U6" s="8">
        <f t="shared" ref="U6:U19" si="5">IF(S6="Y",0,R6*Q6/2)</f>
        <v>0</v>
      </c>
      <c r="V6" s="8">
        <f t="shared" ref="V6:V19" si="6">IF(S6="Y",0,R6*Q6/2)</f>
        <v>0</v>
      </c>
      <c r="W6" s="8">
        <f t="shared" ref="W6:W19" si="7">SUM(T6:V6)</f>
        <v>1260</v>
      </c>
    </row>
    <row r="7" spans="1:23" x14ac:dyDescent="0.25">
      <c r="A7" s="8" t="s">
        <v>15</v>
      </c>
      <c r="B7" s="11">
        <v>123456789123456</v>
      </c>
      <c r="C7" s="8">
        <v>321</v>
      </c>
      <c r="D7" s="9">
        <v>46056</v>
      </c>
      <c r="E7" s="10">
        <v>0.05</v>
      </c>
      <c r="F7" s="8">
        <v>1000</v>
      </c>
      <c r="G7" s="8" t="s">
        <v>18</v>
      </c>
      <c r="H7" s="8">
        <f t="shared" si="0"/>
        <v>0</v>
      </c>
      <c r="I7" s="8">
        <f t="shared" si="1"/>
        <v>25</v>
      </c>
      <c r="J7" s="8">
        <f t="shared" si="2"/>
        <v>25</v>
      </c>
      <c r="K7" s="8">
        <f t="shared" si="3"/>
        <v>50</v>
      </c>
      <c r="M7" s="8" t="s">
        <v>15</v>
      </c>
      <c r="N7" s="11">
        <v>123456789123456</v>
      </c>
      <c r="O7" s="8">
        <v>321</v>
      </c>
      <c r="P7" s="9">
        <v>46056</v>
      </c>
      <c r="Q7" s="10">
        <v>0.05</v>
      </c>
      <c r="R7" s="8">
        <v>2000</v>
      </c>
      <c r="S7" s="8" t="s">
        <v>18</v>
      </c>
      <c r="T7" s="8">
        <f t="shared" si="4"/>
        <v>0</v>
      </c>
      <c r="U7" s="8">
        <f t="shared" si="5"/>
        <v>50</v>
      </c>
      <c r="V7" s="8">
        <f t="shared" si="6"/>
        <v>50</v>
      </c>
      <c r="W7" s="8">
        <f t="shared" si="7"/>
        <v>100</v>
      </c>
    </row>
    <row r="8" spans="1:23" x14ac:dyDescent="0.25">
      <c r="A8" s="8" t="s">
        <v>16</v>
      </c>
      <c r="B8" s="11">
        <v>123456789123456</v>
      </c>
      <c r="C8" s="8">
        <v>546</v>
      </c>
      <c r="D8" s="9">
        <v>46057</v>
      </c>
      <c r="E8" s="10">
        <v>0.12</v>
      </c>
      <c r="F8" s="8"/>
      <c r="G8" s="8" t="s">
        <v>18</v>
      </c>
      <c r="H8" s="8">
        <f t="shared" si="0"/>
        <v>0</v>
      </c>
      <c r="I8" s="8">
        <f t="shared" si="1"/>
        <v>0</v>
      </c>
      <c r="J8" s="8">
        <f t="shared" si="2"/>
        <v>0</v>
      </c>
      <c r="K8" s="8">
        <f t="shared" si="3"/>
        <v>0</v>
      </c>
      <c r="M8" s="8" t="s">
        <v>16</v>
      </c>
      <c r="N8" s="11">
        <v>123456789123456</v>
      </c>
      <c r="O8" s="8">
        <v>546</v>
      </c>
      <c r="P8" s="9">
        <v>46057</v>
      </c>
      <c r="Q8" s="10">
        <v>0.12</v>
      </c>
      <c r="R8" s="8"/>
      <c r="S8" s="8" t="s">
        <v>18</v>
      </c>
      <c r="T8" s="8">
        <f t="shared" si="4"/>
        <v>0</v>
      </c>
      <c r="U8" s="8">
        <f t="shared" si="5"/>
        <v>0</v>
      </c>
      <c r="V8" s="8">
        <f t="shared" si="6"/>
        <v>0</v>
      </c>
      <c r="W8" s="8">
        <f t="shared" si="7"/>
        <v>0</v>
      </c>
    </row>
    <row r="9" spans="1:23" x14ac:dyDescent="0.25">
      <c r="A9" s="8"/>
      <c r="B9" s="11"/>
      <c r="C9" s="8"/>
      <c r="D9" s="8"/>
      <c r="E9" s="10">
        <v>0.12</v>
      </c>
      <c r="F9" s="8"/>
      <c r="G9" s="8" t="s">
        <v>18</v>
      </c>
      <c r="H9" s="8">
        <f t="shared" si="0"/>
        <v>0</v>
      </c>
      <c r="I9" s="8">
        <f t="shared" si="1"/>
        <v>0</v>
      </c>
      <c r="J9" s="8">
        <f t="shared" si="2"/>
        <v>0</v>
      </c>
      <c r="K9" s="8">
        <f t="shared" si="3"/>
        <v>0</v>
      </c>
      <c r="M9" s="8"/>
      <c r="N9" s="11"/>
      <c r="O9" s="8"/>
      <c r="P9" s="8"/>
      <c r="Q9" s="10">
        <v>0.12</v>
      </c>
      <c r="R9" s="8"/>
      <c r="S9" s="8" t="s">
        <v>18</v>
      </c>
      <c r="T9" s="8">
        <f t="shared" si="4"/>
        <v>0</v>
      </c>
      <c r="U9" s="8">
        <f t="shared" si="5"/>
        <v>0</v>
      </c>
      <c r="V9" s="8">
        <f t="shared" si="6"/>
        <v>0</v>
      </c>
      <c r="W9" s="8">
        <f t="shared" si="7"/>
        <v>0</v>
      </c>
    </row>
    <row r="10" spans="1:23" x14ac:dyDescent="0.25">
      <c r="A10" s="8"/>
      <c r="B10" s="11"/>
      <c r="C10" s="8"/>
      <c r="D10" s="8"/>
      <c r="E10" s="10">
        <v>0.12</v>
      </c>
      <c r="F10" s="8"/>
      <c r="G10" s="8" t="s">
        <v>18</v>
      </c>
      <c r="H10" s="8">
        <f t="shared" si="0"/>
        <v>0</v>
      </c>
      <c r="I10" s="8">
        <f t="shared" si="1"/>
        <v>0</v>
      </c>
      <c r="J10" s="8">
        <f t="shared" si="2"/>
        <v>0</v>
      </c>
      <c r="K10" s="8">
        <f t="shared" si="3"/>
        <v>0</v>
      </c>
      <c r="M10" s="8"/>
      <c r="N10" s="11"/>
      <c r="O10" s="8"/>
      <c r="P10" s="8"/>
      <c r="Q10" s="10">
        <v>0.12</v>
      </c>
      <c r="R10" s="8"/>
      <c r="S10" s="8" t="s">
        <v>18</v>
      </c>
      <c r="T10" s="8">
        <f t="shared" si="4"/>
        <v>0</v>
      </c>
      <c r="U10" s="8">
        <f t="shared" si="5"/>
        <v>0</v>
      </c>
      <c r="V10" s="8">
        <f t="shared" si="6"/>
        <v>0</v>
      </c>
      <c r="W10" s="8">
        <f t="shared" si="7"/>
        <v>0</v>
      </c>
    </row>
    <row r="11" spans="1:23" x14ac:dyDescent="0.25">
      <c r="A11" s="8"/>
      <c r="B11" s="11"/>
      <c r="C11" s="8"/>
      <c r="D11" s="8"/>
      <c r="E11" s="10">
        <v>0.12</v>
      </c>
      <c r="F11" s="8"/>
      <c r="G11" s="8" t="s">
        <v>18</v>
      </c>
      <c r="H11" s="8">
        <f t="shared" si="0"/>
        <v>0</v>
      </c>
      <c r="I11" s="8">
        <f t="shared" si="1"/>
        <v>0</v>
      </c>
      <c r="J11" s="8">
        <f t="shared" si="2"/>
        <v>0</v>
      </c>
      <c r="K11" s="8">
        <f t="shared" si="3"/>
        <v>0</v>
      </c>
      <c r="M11" s="8"/>
      <c r="N11" s="11"/>
      <c r="O11" s="8"/>
      <c r="P11" s="8"/>
      <c r="Q11" s="10">
        <v>0.12</v>
      </c>
      <c r="R11" s="8"/>
      <c r="S11" s="8" t="s">
        <v>18</v>
      </c>
      <c r="T11" s="8">
        <f t="shared" si="4"/>
        <v>0</v>
      </c>
      <c r="U11" s="8">
        <f t="shared" si="5"/>
        <v>0</v>
      </c>
      <c r="V11" s="8">
        <f t="shared" si="6"/>
        <v>0</v>
      </c>
      <c r="W11" s="8">
        <f t="shared" si="7"/>
        <v>0</v>
      </c>
    </row>
    <row r="12" spans="1:23" x14ac:dyDescent="0.25">
      <c r="A12" s="8"/>
      <c r="B12" s="11"/>
      <c r="C12" s="8"/>
      <c r="D12" s="8"/>
      <c r="E12" s="10">
        <v>0.12</v>
      </c>
      <c r="F12" s="8"/>
      <c r="G12" s="8" t="s">
        <v>18</v>
      </c>
      <c r="H12" s="8">
        <f t="shared" si="0"/>
        <v>0</v>
      </c>
      <c r="I12" s="8">
        <f t="shared" si="1"/>
        <v>0</v>
      </c>
      <c r="J12" s="8">
        <f t="shared" si="2"/>
        <v>0</v>
      </c>
      <c r="K12" s="8">
        <f t="shared" si="3"/>
        <v>0</v>
      </c>
      <c r="M12" s="8"/>
      <c r="N12" s="11"/>
      <c r="O12" s="8"/>
      <c r="P12" s="8"/>
      <c r="Q12" s="10">
        <v>0.12</v>
      </c>
      <c r="R12" s="8"/>
      <c r="S12" s="8" t="s">
        <v>18</v>
      </c>
      <c r="T12" s="8">
        <f t="shared" si="4"/>
        <v>0</v>
      </c>
      <c r="U12" s="8">
        <f t="shared" si="5"/>
        <v>0</v>
      </c>
      <c r="V12" s="8">
        <f t="shared" si="6"/>
        <v>0</v>
      </c>
      <c r="W12" s="8">
        <f t="shared" si="7"/>
        <v>0</v>
      </c>
    </row>
    <row r="13" spans="1:23" x14ac:dyDescent="0.25">
      <c r="A13" s="8"/>
      <c r="B13" s="11"/>
      <c r="C13" s="8"/>
      <c r="D13" s="8"/>
      <c r="E13" s="10">
        <v>0.12</v>
      </c>
      <c r="F13" s="8"/>
      <c r="G13" s="8" t="s">
        <v>18</v>
      </c>
      <c r="H13" s="8">
        <f t="shared" si="0"/>
        <v>0</v>
      </c>
      <c r="I13" s="8">
        <f t="shared" si="1"/>
        <v>0</v>
      </c>
      <c r="J13" s="8">
        <f t="shared" si="2"/>
        <v>0</v>
      </c>
      <c r="K13" s="8">
        <f t="shared" si="3"/>
        <v>0</v>
      </c>
      <c r="M13" s="8"/>
      <c r="N13" s="11"/>
      <c r="O13" s="8"/>
      <c r="P13" s="8"/>
      <c r="Q13" s="10">
        <v>0.12</v>
      </c>
      <c r="R13" s="8"/>
      <c r="S13" s="8" t="s">
        <v>18</v>
      </c>
      <c r="T13" s="8">
        <f t="shared" si="4"/>
        <v>0</v>
      </c>
      <c r="U13" s="8">
        <f t="shared" si="5"/>
        <v>0</v>
      </c>
      <c r="V13" s="8">
        <f t="shared" si="6"/>
        <v>0</v>
      </c>
      <c r="W13" s="8">
        <f t="shared" si="7"/>
        <v>0</v>
      </c>
    </row>
    <row r="14" spans="1:23" x14ac:dyDescent="0.25">
      <c r="A14" s="8"/>
      <c r="B14" s="11"/>
      <c r="C14" s="8"/>
      <c r="D14" s="8"/>
      <c r="E14" s="10">
        <v>0.12</v>
      </c>
      <c r="F14" s="8"/>
      <c r="G14" s="8" t="s">
        <v>18</v>
      </c>
      <c r="H14" s="8">
        <f t="shared" si="0"/>
        <v>0</v>
      </c>
      <c r="I14" s="8">
        <f t="shared" si="1"/>
        <v>0</v>
      </c>
      <c r="J14" s="8">
        <f t="shared" si="2"/>
        <v>0</v>
      </c>
      <c r="K14" s="8">
        <f t="shared" si="3"/>
        <v>0</v>
      </c>
      <c r="M14" s="8"/>
      <c r="N14" s="11"/>
      <c r="O14" s="8"/>
      <c r="P14" s="8"/>
      <c r="Q14" s="10">
        <v>0.12</v>
      </c>
      <c r="R14" s="8"/>
      <c r="S14" s="8" t="s">
        <v>18</v>
      </c>
      <c r="T14" s="8">
        <f t="shared" si="4"/>
        <v>0</v>
      </c>
      <c r="U14" s="8">
        <f t="shared" si="5"/>
        <v>0</v>
      </c>
      <c r="V14" s="8">
        <f t="shared" si="6"/>
        <v>0</v>
      </c>
      <c r="W14" s="8">
        <f t="shared" si="7"/>
        <v>0</v>
      </c>
    </row>
    <row r="15" spans="1:23" x14ac:dyDescent="0.25">
      <c r="A15" s="8"/>
      <c r="B15" s="11"/>
      <c r="C15" s="8"/>
      <c r="D15" s="8"/>
      <c r="E15" s="10">
        <v>0.12</v>
      </c>
      <c r="F15" s="8"/>
      <c r="G15" s="8" t="s">
        <v>18</v>
      </c>
      <c r="H15" s="8">
        <f t="shared" si="0"/>
        <v>0</v>
      </c>
      <c r="I15" s="8">
        <f t="shared" si="1"/>
        <v>0</v>
      </c>
      <c r="J15" s="8">
        <f t="shared" si="2"/>
        <v>0</v>
      </c>
      <c r="K15" s="8">
        <f t="shared" si="3"/>
        <v>0</v>
      </c>
      <c r="M15" s="8"/>
      <c r="N15" s="11"/>
      <c r="O15" s="8"/>
      <c r="P15" s="8"/>
      <c r="Q15" s="10">
        <v>0.12</v>
      </c>
      <c r="R15" s="8"/>
      <c r="S15" s="8" t="s">
        <v>18</v>
      </c>
      <c r="T15" s="8">
        <f t="shared" si="4"/>
        <v>0</v>
      </c>
      <c r="U15" s="8">
        <f t="shared" si="5"/>
        <v>0</v>
      </c>
      <c r="V15" s="8">
        <f t="shared" si="6"/>
        <v>0</v>
      </c>
      <c r="W15" s="8">
        <f t="shared" si="7"/>
        <v>0</v>
      </c>
    </row>
    <row r="16" spans="1:23" x14ac:dyDescent="0.25">
      <c r="A16" s="8"/>
      <c r="B16" s="11"/>
      <c r="C16" s="8"/>
      <c r="D16" s="8"/>
      <c r="E16" s="10">
        <v>0.12</v>
      </c>
      <c r="F16" s="8"/>
      <c r="G16" s="8" t="s">
        <v>18</v>
      </c>
      <c r="H16" s="8">
        <f t="shared" si="0"/>
        <v>0</v>
      </c>
      <c r="I16" s="8">
        <f t="shared" si="1"/>
        <v>0</v>
      </c>
      <c r="J16" s="8">
        <f t="shared" si="2"/>
        <v>0</v>
      </c>
      <c r="K16" s="8">
        <f t="shared" si="3"/>
        <v>0</v>
      </c>
      <c r="M16" s="8"/>
      <c r="N16" s="11"/>
      <c r="O16" s="8"/>
      <c r="P16" s="8"/>
      <c r="Q16" s="10">
        <v>0.12</v>
      </c>
      <c r="R16" s="8"/>
      <c r="S16" s="8" t="s">
        <v>18</v>
      </c>
      <c r="T16" s="8">
        <f t="shared" si="4"/>
        <v>0</v>
      </c>
      <c r="U16" s="8">
        <f t="shared" si="5"/>
        <v>0</v>
      </c>
      <c r="V16" s="8">
        <f t="shared" si="6"/>
        <v>0</v>
      </c>
      <c r="W16" s="8">
        <f t="shared" si="7"/>
        <v>0</v>
      </c>
    </row>
    <row r="17" spans="1:23" x14ac:dyDescent="0.25">
      <c r="A17" s="8"/>
      <c r="B17" s="11"/>
      <c r="C17" s="8"/>
      <c r="D17" s="8"/>
      <c r="E17" s="10">
        <v>0.12</v>
      </c>
      <c r="F17" s="8"/>
      <c r="G17" s="8" t="s">
        <v>18</v>
      </c>
      <c r="H17" s="8">
        <f t="shared" si="0"/>
        <v>0</v>
      </c>
      <c r="I17" s="8">
        <f t="shared" si="1"/>
        <v>0</v>
      </c>
      <c r="J17" s="8">
        <f t="shared" si="2"/>
        <v>0</v>
      </c>
      <c r="K17" s="8">
        <f t="shared" si="3"/>
        <v>0</v>
      </c>
      <c r="M17" s="8"/>
      <c r="N17" s="11"/>
      <c r="O17" s="8"/>
      <c r="P17" s="8"/>
      <c r="Q17" s="10">
        <v>0.12</v>
      </c>
      <c r="R17" s="8"/>
      <c r="S17" s="8" t="s">
        <v>18</v>
      </c>
      <c r="T17" s="8">
        <f t="shared" si="4"/>
        <v>0</v>
      </c>
      <c r="U17" s="8">
        <f t="shared" si="5"/>
        <v>0</v>
      </c>
      <c r="V17" s="8">
        <f t="shared" si="6"/>
        <v>0</v>
      </c>
      <c r="W17" s="8">
        <f t="shared" si="7"/>
        <v>0</v>
      </c>
    </row>
    <row r="18" spans="1:23" x14ac:dyDescent="0.25">
      <c r="A18" s="8"/>
      <c r="B18" s="11"/>
      <c r="C18" s="8"/>
      <c r="D18" s="8"/>
      <c r="E18" s="10">
        <v>0.12</v>
      </c>
      <c r="F18" s="8"/>
      <c r="G18" s="8" t="s">
        <v>18</v>
      </c>
      <c r="H18" s="8">
        <f t="shared" si="0"/>
        <v>0</v>
      </c>
      <c r="I18" s="8">
        <f t="shared" si="1"/>
        <v>0</v>
      </c>
      <c r="J18" s="8">
        <f t="shared" si="2"/>
        <v>0</v>
      </c>
      <c r="K18" s="8">
        <f t="shared" si="3"/>
        <v>0</v>
      </c>
      <c r="M18" s="8"/>
      <c r="N18" s="11"/>
      <c r="O18" s="8"/>
      <c r="P18" s="8"/>
      <c r="Q18" s="10">
        <v>0.12</v>
      </c>
      <c r="R18" s="8"/>
      <c r="S18" s="8" t="s">
        <v>18</v>
      </c>
      <c r="T18" s="8">
        <f t="shared" si="4"/>
        <v>0</v>
      </c>
      <c r="U18" s="8">
        <f t="shared" si="5"/>
        <v>0</v>
      </c>
      <c r="V18" s="8">
        <f t="shared" si="6"/>
        <v>0</v>
      </c>
      <c r="W18" s="8">
        <f t="shared" si="7"/>
        <v>0</v>
      </c>
    </row>
    <row r="19" spans="1:23" x14ac:dyDescent="0.25">
      <c r="A19" s="8"/>
      <c r="B19" s="11"/>
      <c r="C19" s="8"/>
      <c r="D19" s="8"/>
      <c r="E19" s="10">
        <v>0.12</v>
      </c>
      <c r="F19" s="8"/>
      <c r="G19" s="8" t="s">
        <v>18</v>
      </c>
      <c r="H19" s="8">
        <f t="shared" si="0"/>
        <v>0</v>
      </c>
      <c r="I19" s="8">
        <f t="shared" si="1"/>
        <v>0</v>
      </c>
      <c r="J19" s="8">
        <f t="shared" si="2"/>
        <v>0</v>
      </c>
      <c r="K19" s="8">
        <f t="shared" si="3"/>
        <v>0</v>
      </c>
      <c r="M19" s="8"/>
      <c r="N19" s="11"/>
      <c r="O19" s="8"/>
      <c r="P19" s="8"/>
      <c r="Q19" s="10">
        <v>0.12</v>
      </c>
      <c r="R19" s="8"/>
      <c r="S19" s="8" t="s">
        <v>18</v>
      </c>
      <c r="T19" s="8">
        <f t="shared" si="4"/>
        <v>0</v>
      </c>
      <c r="U19" s="8">
        <f t="shared" si="5"/>
        <v>0</v>
      </c>
      <c r="V19" s="8">
        <f t="shared" si="6"/>
        <v>0</v>
      </c>
      <c r="W19" s="8">
        <f t="shared" si="7"/>
        <v>0</v>
      </c>
    </row>
    <row r="20" spans="1:23" x14ac:dyDescent="0.25">
      <c r="A20" s="13" t="s">
        <v>19</v>
      </c>
      <c r="B20" s="13"/>
      <c r="C20" s="13"/>
      <c r="D20" s="13"/>
      <c r="E20" s="13"/>
      <c r="F20" s="15">
        <f>SUM(F5:F19)</f>
        <v>12000</v>
      </c>
      <c r="G20" s="14"/>
      <c r="H20" s="14">
        <f t="shared" ref="H20:K20" si="8">SUM(H5:H19)</f>
        <v>900</v>
      </c>
      <c r="I20" s="14">
        <f t="shared" si="8"/>
        <v>385</v>
      </c>
      <c r="J20" s="14">
        <f t="shared" si="8"/>
        <v>385</v>
      </c>
      <c r="K20" s="14">
        <f t="shared" si="8"/>
        <v>1670</v>
      </c>
      <c r="M20" s="13" t="s">
        <v>19</v>
      </c>
      <c r="N20" s="13"/>
      <c r="O20" s="13"/>
      <c r="P20" s="13"/>
      <c r="Q20" s="13"/>
      <c r="R20" s="15">
        <f>SUM(R5:R19)</f>
        <v>19000</v>
      </c>
      <c r="S20" s="14"/>
      <c r="T20" s="14">
        <f t="shared" ref="T20" si="9">SUM(T5:T19)</f>
        <v>1260</v>
      </c>
      <c r="U20" s="14">
        <f t="shared" ref="U20" si="10">SUM(U5:U19)</f>
        <v>650</v>
      </c>
      <c r="V20" s="14">
        <f t="shared" ref="V20" si="11">SUM(V5:V19)</f>
        <v>650</v>
      </c>
      <c r="W20" s="14">
        <f t="shared" ref="W20" si="12">SUM(W5:W19)</f>
        <v>2560</v>
      </c>
    </row>
    <row r="23" spans="1:23" x14ac:dyDescent="0.25">
      <c r="A23" s="12" t="s">
        <v>20</v>
      </c>
    </row>
    <row r="25" spans="1:23" ht="30" x14ac:dyDescent="0.25">
      <c r="A25" s="6" t="s">
        <v>25</v>
      </c>
      <c r="B25" s="7" t="s">
        <v>7</v>
      </c>
      <c r="C25" s="6" t="s">
        <v>9</v>
      </c>
      <c r="D25" s="6" t="s">
        <v>10</v>
      </c>
      <c r="E25" s="6" t="s">
        <v>11</v>
      </c>
    </row>
    <row r="26" spans="1:23" x14ac:dyDescent="0.25">
      <c r="A26" s="8" t="s">
        <v>21</v>
      </c>
      <c r="B26" s="8">
        <f>F20</f>
        <v>12000</v>
      </c>
      <c r="C26" s="8">
        <f>H20</f>
        <v>900</v>
      </c>
      <c r="D26" s="8">
        <f>I20</f>
        <v>385</v>
      </c>
      <c r="E26" s="8">
        <f>J20</f>
        <v>385</v>
      </c>
    </row>
    <row r="27" spans="1:23" x14ac:dyDescent="0.25">
      <c r="A27" s="8" t="s">
        <v>22</v>
      </c>
      <c r="B27" s="8">
        <f>R20</f>
        <v>19000</v>
      </c>
      <c r="C27" s="8">
        <f>T20</f>
        <v>1260</v>
      </c>
      <c r="D27" s="8">
        <f t="shared" ref="D27:E27" si="13">U20</f>
        <v>650</v>
      </c>
      <c r="E27" s="8">
        <f t="shared" si="13"/>
        <v>650</v>
      </c>
    </row>
    <row r="28" spans="1:23" x14ac:dyDescent="0.25">
      <c r="A28" s="8"/>
      <c r="B28" s="8"/>
      <c r="C28" s="8"/>
      <c r="D28" s="8"/>
      <c r="E28" s="8"/>
    </row>
    <row r="29" spans="1:23" x14ac:dyDescent="0.25">
      <c r="A29" s="16" t="s">
        <v>23</v>
      </c>
      <c r="B29" s="16"/>
      <c r="C29" s="15">
        <f>C27-C26</f>
        <v>360</v>
      </c>
      <c r="D29" s="15">
        <f t="shared" ref="D29:E29" si="14">D27-D26</f>
        <v>265</v>
      </c>
      <c r="E29" s="15">
        <f t="shared" si="14"/>
        <v>265</v>
      </c>
    </row>
    <row r="31" spans="1:23" x14ac:dyDescent="0.25">
      <c r="A31" s="17" t="s">
        <v>24</v>
      </c>
      <c r="B31" s="17"/>
      <c r="C31" s="18">
        <f>SUM(C29:E29)</f>
        <v>890</v>
      </c>
      <c r="D31" s="18"/>
      <c r="E31" s="18"/>
    </row>
  </sheetData>
  <mergeCells count="8">
    <mergeCell ref="A31:B31"/>
    <mergeCell ref="C31:E31"/>
    <mergeCell ref="A1:W2"/>
    <mergeCell ref="A3:L3"/>
    <mergeCell ref="M3:W3"/>
    <mergeCell ref="A20:E20"/>
    <mergeCell ref="M20:Q20"/>
    <mergeCell ref="A29:B29"/>
  </mergeCells>
  <dataValidations count="2">
    <dataValidation type="list" allowBlank="1" showInputMessage="1" showErrorMessage="1" sqref="G5:G19 S5:S19" xr:uid="{5E2488A3-C172-41AF-9F1C-81B13838B195}">
      <formula1>"Y,N"</formula1>
    </dataValidation>
    <dataValidation type="list" allowBlank="1" showInputMessage="1" showErrorMessage="1" sqref="E5:E19 Q5:Q19" xr:uid="{E0E70A8B-68C9-49B4-9460-52AF2E07D1C6}">
      <formula1>"5%,12%,18%,28%"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Guria</dc:creator>
  <cp:lastModifiedBy>Arun Guria</cp:lastModifiedBy>
  <dcterms:created xsi:type="dcterms:W3CDTF">2026-04-04T13:37:19Z</dcterms:created>
  <dcterms:modified xsi:type="dcterms:W3CDTF">2026-04-04T15:00:14Z</dcterms:modified>
</cp:coreProperties>
</file>